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tt\Downloads\"/>
    </mc:Choice>
  </mc:AlternateContent>
  <xr:revisionPtr revIDLastSave="0" documentId="8_{38B07845-AF67-478B-8007-AA63D076E98F}" xr6:coauthVersionLast="47" xr6:coauthVersionMax="47" xr10:uidLastSave="{00000000-0000-0000-0000-000000000000}"/>
  <bookViews>
    <workbookView xWindow="1886" yWindow="1886" windowWidth="16045" windowHeight="9865" xr2:uid="{90F32260-DCB7-4A02-9BE0-743BB03BE000}"/>
  </bookViews>
  <sheets>
    <sheet name="WoS Core articles on AI (2024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6" i="1"/>
  <c r="J227" i="1"/>
  <c r="J228" i="1"/>
</calcChain>
</file>

<file path=xl/sharedStrings.xml><?xml version="1.0" encoding="utf-8"?>
<sst xmlns="http://schemas.openxmlformats.org/spreadsheetml/2006/main" count="1758" uniqueCount="936">
  <si>
    <t>Authors</t>
  </si>
  <si>
    <t>Article Title</t>
  </si>
  <si>
    <t>Issue</t>
  </si>
  <si>
    <t>DOI Link</t>
  </si>
  <si>
    <t>Web of Science Index</t>
  </si>
  <si>
    <t>UT (Unique WOS ID)</t>
  </si>
  <si>
    <t/>
  </si>
  <si>
    <t>Hermann, Erik; Puntoni, Stefano</t>
  </si>
  <si>
    <t>Artificial intelligence and consumer behavior: From predictive to generative AI</t>
  </si>
  <si>
    <t>JOURNAL OF BUSINESS RESEARCH</t>
  </si>
  <si>
    <t>JUL</t>
  </si>
  <si>
    <t>Social Science Citation Index (SSCI)</t>
  </si>
  <si>
    <t>WOS:001244776600001</t>
  </si>
  <si>
    <t>Kemp, Ayenda</t>
  </si>
  <si>
    <t>ACADEMY OF MANAGEMENT REVIEW</t>
  </si>
  <si>
    <t>WOS:001343256800008</t>
  </si>
  <si>
    <t>van der Vlist, Fernando; Helmond, Anne; Ferrari, Fabian</t>
  </si>
  <si>
    <t>Big AI: Cloud infrastructure dependence and the industrialisation of artificial intelligence</t>
  </si>
  <si>
    <t>BIG DATA &amp; SOCIETY</t>
  </si>
  <si>
    <t>MAR</t>
  </si>
  <si>
    <t>WOS:001183730300001</t>
  </si>
  <si>
    <t>Wang, Qiang; Li, Yuanfan; Li, Rongrong</t>
  </si>
  <si>
    <t>Ecological footprints, carbon emissions, and energy transitions: the impact of artificial intelligence (AI)</t>
  </si>
  <si>
    <t>HUMANITIES &amp; SOCIAL SCIENCES COMMUNICATIONS</t>
  </si>
  <si>
    <t>AUG 14</t>
  </si>
  <si>
    <t>Social Science Citation Index (SSCI); Arts &amp; Humanities Citation Index (A&amp;HCI)</t>
  </si>
  <si>
    <t>WOS:001290718800005</t>
  </si>
  <si>
    <t>Li, Wanlu; Qin, Xin; Yam, Kai Chi; Deng, Huiru; Chen, Chen; Dong, Xiaowei; Jiang, Luyuan; Tang, Wenjin</t>
  </si>
  <si>
    <t>Embracing artificial intelligence (AI) with job crafting: Exploring trickle-down effect and employees' outcomes</t>
  </si>
  <si>
    <t>TOURISM MANAGEMENT</t>
  </si>
  <si>
    <t>OCT</t>
  </si>
  <si>
    <t>WOS:001224036500001</t>
  </si>
  <si>
    <t>Joshi, Geeta; Jain, Aditi; Araveeti, Shalini Reddy; Adhikari, Sabina; Garg, Harshit; Bhandari, Mukund</t>
  </si>
  <si>
    <t>FDA-Approved Artificial Intelligence and Machine Learning (AI/ML)-Enabled Medical Devices: An Updated Landscape</t>
  </si>
  <si>
    <t>ELECTRONICS</t>
  </si>
  <si>
    <t>FEB</t>
  </si>
  <si>
    <t>Science Citation Index Expanded (SCI-EXPANDED)</t>
  </si>
  <si>
    <t>WOS:001160169500001</t>
  </si>
  <si>
    <t>Christensen, Jeff; Hansen, Jared M.; Wilson, Paul</t>
  </si>
  <si>
    <t>Understanding the role and impact of Generative Artificial Intelligence (AI) hallucination within consumers' tourism decision-making processes</t>
  </si>
  <si>
    <t>CURRENT ISSUES IN TOURISM</t>
  </si>
  <si>
    <t>FEB 16</t>
  </si>
  <si>
    <t>WOS:001144077200001</t>
  </si>
  <si>
    <t>Esmaeilzadeh, Pouyan</t>
  </si>
  <si>
    <t>Challenges and strategies for wide-scale artificial intelligence (AI) deployment in healthcare practices: A perspective for healthcare organizations</t>
  </si>
  <si>
    <t>ARTIFICIAL INTELLIGENCE IN MEDICINE</t>
  </si>
  <si>
    <t>MAY</t>
  </si>
  <si>
    <t>WOS:001216328100001</t>
  </si>
  <si>
    <t>Gatrell, Caroline; Muzio, Daniel; Post, Corinne; Wickert, Christopher</t>
  </si>
  <si>
    <t>Here, there and Everywhere: On the Responsible Use of Artificial Intelligence (AI) in Management Research and the Peer-Review Process</t>
  </si>
  <si>
    <t>JOURNAL OF MANAGEMENT STUDIES</t>
  </si>
  <si>
    <t>WOS:001153772500001</t>
  </si>
  <si>
    <t>Chen, Xinqiang; Ma, Dongfang; Liu, Ryan Wen</t>
  </si>
  <si>
    <t>Application of Artificial Intelligence in Maritime Transportation</t>
  </si>
  <si>
    <t>JOURNAL OF MARINE SCIENCE AND ENGINEERING</t>
  </si>
  <si>
    <t>WOS:001193538800001</t>
  </si>
  <si>
    <t>Walter, Yoshija</t>
  </si>
  <si>
    <t>Embracing the future of Artificial Intelligence in the classroom: the relevance of AI literacy, prompt engineering, and critical thinking in modern education</t>
  </si>
  <si>
    <t>INTERNATIONAL JOURNAL OF EDUCATIONAL TECHNOLOGY IN HIGHER EDUCATION</t>
  </si>
  <si>
    <t>FEB 26</t>
  </si>
  <si>
    <t>WOS:001169886300001</t>
  </si>
  <si>
    <t>Chang, Po-Chien; Zhang, Wenhui; Cai, Qihai; Guo, Hongchi</t>
  </si>
  <si>
    <t>Does AI-Driven Technostress Promote or Hinder Employees' Artificial Intelligence Adoption Intention? A Moderated Mediation Model of Affective Reactions and Technical Self-Efficacy</t>
  </si>
  <si>
    <t>PSYCHOLOGY RESEARCH AND BEHAVIOR MANAGEMENT</t>
  </si>
  <si>
    <t>WOS:001159489500001</t>
  </si>
  <si>
    <t>Jia, Nan; Luo, Xueming; Fang, Zheng; Liao, Chengcheng</t>
  </si>
  <si>
    <t>ACADEMY OF MANAGEMENT JOURNAL</t>
  </si>
  <si>
    <t>WOS:001184621500011</t>
  </si>
  <si>
    <t>Belanche, Daniel; Belk, Russell W.; Casalo, Luis V.; Flavian, Carlos</t>
  </si>
  <si>
    <t>The dark side of artificial intelligence in services</t>
  </si>
  <si>
    <t>SERVICE INDUSTRIES JOURNAL</t>
  </si>
  <si>
    <t>MAR 11</t>
  </si>
  <si>
    <t>3-4</t>
  </si>
  <si>
    <t>WOS:001151868300001</t>
  </si>
  <si>
    <t>Nahar, Sharmin</t>
  </si>
  <si>
    <t>Modeling the effects of artificial intelligence (AI)-based innovation on sustainable development goals (SDGs): Applying a system dynamics perspective in a cross-country setting</t>
  </si>
  <si>
    <t>TECHNOLOGICAL FORECASTING AND SOCIAL CHANGE</t>
  </si>
  <si>
    <t>APR</t>
  </si>
  <si>
    <t>WOS:001170495300001</t>
  </si>
  <si>
    <t>Oche, Paul A.; Ewa, Gideon A.; Ibekwe, Nwanneka</t>
  </si>
  <si>
    <t>Applications and Challenges of Artificial Intelligence in Space Missions</t>
  </si>
  <si>
    <t>IEEE ACCESS</t>
  </si>
  <si>
    <t>WOS:001193745200001</t>
  </si>
  <si>
    <t>Lee, Chien-Chiang; Yan, Jingyang</t>
  </si>
  <si>
    <t>Will artificial intelligence make energy cleaner? Evidence of nonlinearity</t>
  </si>
  <si>
    <t>APPLIED ENERGY</t>
  </si>
  <si>
    <t>JUN 1</t>
  </si>
  <si>
    <t>WOS:001217270200001</t>
  </si>
  <si>
    <t>Garcia, Patricia; Ma, Stephen P.; Shah, Shreya; Smith, Margaret; Jeong, Yejin; Devon-Sand, Anna; Tai-Seale, Ming; Takazawa, Kevin; Clutter, Danyelle; Vogt, Kyle; Lugtu, Carlene; Rojo, Matthew; Lin, Steven; Shanafelt, Tait; Pfeffer, Michael A.; Sharp, Christopher</t>
  </si>
  <si>
    <t>Artificial Intelligence-Generated Draft Replies to Patient Inbox Messages</t>
  </si>
  <si>
    <t>JAMA NETWORK OPEN</t>
  </si>
  <si>
    <t>MAR 20</t>
  </si>
  <si>
    <t>WOS:001189188200001</t>
  </si>
  <si>
    <t>Peretz-Andersson, Einav; Tabares, Sabrina; Mikalef, Patrick; Parida, Vinit</t>
  </si>
  <si>
    <t>Artificial intelligence implementation in manufacturing SMEs: A resource orchestration approach</t>
  </si>
  <si>
    <t>INTERNATIONAL JOURNAL OF INFORMATION MANAGEMENT</t>
  </si>
  <si>
    <t>AUG</t>
  </si>
  <si>
    <t>WOS:001222220800001</t>
  </si>
  <si>
    <t>Min, Pil-Kee; Mito, Kazuyuki; Kim, Tae Hoon</t>
  </si>
  <si>
    <t>The Evolving Landscape of Artificial Intelligence Applications in Animal Health</t>
  </si>
  <si>
    <t>INDIAN JOURNAL OF ANIMAL RESEARCH</t>
  </si>
  <si>
    <t>WOS:001345534800022</t>
  </si>
  <si>
    <t>Kassab, Joseph; El Hajjar, Abdel Hadi; Wardrop III, Richard M.; Brateanu, Andrei</t>
  </si>
  <si>
    <t>Accuracy of Online Artificial Intelligence Models in Primary Care Settings</t>
  </si>
  <si>
    <t>AMERICAN JOURNAL OF PREVENTIVE MEDICINE</t>
  </si>
  <si>
    <t>JUN</t>
  </si>
  <si>
    <t>Science Citation Index Expanded (SCI-EXPANDED); Social Science Citation Index (SSCI)</t>
  </si>
  <si>
    <t>WOS:001244302300004</t>
  </si>
  <si>
    <t>Gursoy, Dogan; Cai, Ruiying</t>
  </si>
  <si>
    <t>Artificial intelligence: an overview of research trends and future directions</t>
  </si>
  <si>
    <t>INTERNATIONAL JOURNAL OF CONTEMPORARY HOSPITALITY MANAGEMENT</t>
  </si>
  <si>
    <t>JAN 2</t>
  </si>
  <si>
    <t>WOS:001194905400001</t>
  </si>
  <si>
    <t>Baniecki, Hubert; Biecek, Przemyslaw</t>
  </si>
  <si>
    <t>Adversarial attacks and defenses in explainable artificial intelligence: A survey</t>
  </si>
  <si>
    <t>INFORMATION FUSION</t>
  </si>
  <si>
    <t>WOS:001201880600001</t>
  </si>
  <si>
    <t>Shiraishi, Makoto; Lee, Haesu; Kanayama, Koji; Moriwaki, Yuta; Okazaki, Mutsumi</t>
  </si>
  <si>
    <t>Appropriateness of Artificial Intelligence Chatbots in Diabetic Foot Ulcer Management</t>
  </si>
  <si>
    <t>INTERNATIONAL JOURNAL OF LOWER EXTREMITY WOUNDS</t>
  </si>
  <si>
    <t>2024 FEB 28</t>
  </si>
  <si>
    <t>WOS:001173466100001</t>
  </si>
  <si>
    <t>Rony, Moustaq Karim Khan; Parvin, Mst. Rina; Ferdousi, Silvia</t>
  </si>
  <si>
    <t>Advancing nursing practice with artificial intelligence: Enhancing preparedness for the future</t>
  </si>
  <si>
    <t>NURSING OPEN</t>
  </si>
  <si>
    <t>JAN</t>
  </si>
  <si>
    <t>WOS:001127928400001</t>
  </si>
  <si>
    <t>Alexopoulos, George S.</t>
  </si>
  <si>
    <t>Artificial Intelligence in Geriatric Psychiatry Through the Lens of Contemporary Philosophy</t>
  </si>
  <si>
    <t>AMERICAN JOURNAL OF GERIATRIC PSYCHIATRY</t>
  </si>
  <si>
    <t>WOS:001198898500001</t>
  </si>
  <si>
    <t>Gallo, Robert J.; Shieh, Lisa; Smith, Margaret; Marafino, Ben J.; Geldsetzer, Pascal; Asch, Steven M.; Shum, Kenny; Lin, Steven; Westphal, Jerri; Hong, Grace; Li, Ron Chen</t>
  </si>
  <si>
    <t>Effectiveness of an Artificial Intelligence-Enabled Intervention for Detecting Clinical Deterioration</t>
  </si>
  <si>
    <t>JAMA INTERNAL MEDICINE</t>
  </si>
  <si>
    <t>WOS:001193944300002</t>
  </si>
  <si>
    <t>Brown, Olivia; Davison, Robert M.; Decker, Stephanie; Ellis, David A.; Faulconbridge, James; Gore, Julie; Greenwood, Michelle; Islam, Gazi; Lubinski, Christina; MacKenzie, Niall G.; Meyer, Renate; Muzio, Daniel; Quattrone, Paolo; Ravishankar, M. N.; Zilber, Tammar; Ren, Shuang; Sarala, Riikka M.; Hibbert, Paul</t>
  </si>
  <si>
    <t>Theory-Driven Perspectives on Generative Artificial Intelligence in Business and Management</t>
  </si>
  <si>
    <t>BRITISH JOURNAL OF MANAGEMENT</t>
  </si>
  <si>
    <t>WOS:001146078000004</t>
  </si>
  <si>
    <t>Tang, Kok-Sing; Cooper, Grant</t>
  </si>
  <si>
    <t>The Role of Materiality in an Era of Generative Artificial Intelligence</t>
  </si>
  <si>
    <t>SCIENCE &amp; EDUCATION</t>
  </si>
  <si>
    <t>2024 FEB 21</t>
  </si>
  <si>
    <t>Science Citation Index Expanded (SCI-EXPANDED); Social Science Citation Index (SSCI); Arts &amp; Humanities Citation Index (A&amp;HCI)</t>
  </si>
  <si>
    <t>WOS:001166436900002</t>
  </si>
  <si>
    <t>Boscardin, Christy K.; Gin, Brian; Golde, Polo Black; Hauer, Karen E.</t>
  </si>
  <si>
    <t>ChatGPT and Generative Artificial Intelligence for Medical Education: Potential Impact and Opportunity</t>
  </si>
  <si>
    <t>ACADEMIC MEDICINE</t>
  </si>
  <si>
    <t>WOS:001134819400001</t>
  </si>
  <si>
    <t>Strzelecki, Michal; Kociolek, Marcin; Strakowska, Maria; Kozlowski, Michal; Grzybowski, Andrzej; Szczypinski, Piotr M.</t>
  </si>
  <si>
    <t>Artificial intelligence in the detection of skin cancer: State of the art</t>
  </si>
  <si>
    <t>CLINICS IN DERMATOLOGY</t>
  </si>
  <si>
    <t>MAY-JUN</t>
  </si>
  <si>
    <t>WOS:001263745700001</t>
  </si>
  <si>
    <t>Zhang, Fan; Salazar-Miranda, Arianna; Duarte, Fabio; Vale, Lawrence; Hack, Gary; Chen, Min; Liu, Yu; Batty, Michael; Ratti, Carlo</t>
  </si>
  <si>
    <t>Urban Visual Intelligence: Studying Cities with Artificial Intelligence and Street-Level Imagery</t>
  </si>
  <si>
    <t>ANNALS OF THE AMERICAN ASSOCIATION OF GEOGRAPHERS</t>
  </si>
  <si>
    <t>MAY 27</t>
  </si>
  <si>
    <t>WOS:001198520000001</t>
  </si>
  <si>
    <t>Shen, Yang; Zhang, Xiuwu</t>
  </si>
  <si>
    <t>The impact of artificial intelligence on employment: the role of virtual agglomeration</t>
  </si>
  <si>
    <t>JAN 18</t>
  </si>
  <si>
    <t>WOS:001144702700008</t>
  </si>
  <si>
    <t>Mihalache, Andrew; Huang, Ryan S.; Popovic, Marko M.; Patil, Nikhil S.; Pandya, Bhadra U.; Shor, Reut; Pereira, Austin; Kwok, Jason M.; Yan, Peng; Wong, David T.; Kertes, Peter J.; Muni, Rajeev H.</t>
  </si>
  <si>
    <t>Accuracy of an Artificial Intelligence Chatbot's Interpretation of Clinical Ophthalmic Images</t>
  </si>
  <si>
    <t>JAMA OPHTHALMOLOGY</t>
  </si>
  <si>
    <t>WOS:001178772300001</t>
  </si>
  <si>
    <t>Atarere, Joseph; Naqvi, Haider; Haas, Christopher; Adewunmi, Comfort; Bandaru, Sumanth; Allamneni, Rakesh; Ugonabo, Onyinye; Egbo, Olachi; Umoren, Mfoniso; Kanth, Priyanka</t>
  </si>
  <si>
    <t>Applicability of Online Chat-Based Artificial Intelligence Models to Colorectal Cancer Screening</t>
  </si>
  <si>
    <t>DIGESTIVE DISEASES AND SCIENCES</t>
  </si>
  <si>
    <t>WOS:001149433500002</t>
  </si>
  <si>
    <t>Chen, David; Parsa, Rod; Hope, Andrew; Hannon, Breffni; Mak, Ernie; Eng, Lawson; Liu, Fei-Fei; Fallah-Rad, Nazanin; Heesters, Ann M.; Raman, Srinivas</t>
  </si>
  <si>
    <t>Physician and Artificial Intelligence Chatbot Responses to Cancer Questions From Social Media</t>
  </si>
  <si>
    <t>JAMA ONCOLOGY</t>
  </si>
  <si>
    <t>WOS:001225474000003</t>
  </si>
  <si>
    <t>Mariani, Marcello; Dwivedi, Yogesh K.</t>
  </si>
  <si>
    <t>Generative artificial intelligence in innovation management: A preview of future research developments</t>
  </si>
  <si>
    <t>WOS:001185863800001</t>
  </si>
  <si>
    <t>Chadaga, Krishnaraj; Prabhu, Srikanth; Sampathila, Niranjana; Chadaga, Rajagopala; Umakanth, Shashikiran; Bhat, Devadas; Kumar, G. S. Shashi</t>
  </si>
  <si>
    <t>Explainable artificial intelligence approaches for COVID-19 prognosis prediction using clinical markers</t>
  </si>
  <si>
    <t>SCIENTIFIC REPORTS</t>
  </si>
  <si>
    <t>JAN 20</t>
  </si>
  <si>
    <t>WOS:001146299100052</t>
  </si>
  <si>
    <t>Stoneham, Sophie; Livesey, Amy; Cooper, Hywel; Mitchell, Charles</t>
  </si>
  <si>
    <t>ChatGPT versus clinician: challenging the diagnostic capabilities of artificial intelligence in dermatology</t>
  </si>
  <si>
    <t>CLINICAL AND EXPERIMENTAL DERMATOLOGY</t>
  </si>
  <si>
    <t>JAN 10</t>
  </si>
  <si>
    <t>WOS:001139705000001</t>
  </si>
  <si>
    <t>Zhao, Congyu; Dong, Kangyin; Wang, Kun; Nepal, Rabindra</t>
  </si>
  <si>
    <t>How does artificial intelligence promote renewable energy development? The role of climate finance</t>
  </si>
  <si>
    <t>ENERGY ECONOMICS</t>
  </si>
  <si>
    <t>WOS:001223061800001</t>
  </si>
  <si>
    <t>Li, Wenxiu; Gou, Fangfang; Wu, Jia</t>
  </si>
  <si>
    <t>Artificial intelligence auxiliary diagnosis and treatment system for breast cancer in developing countries</t>
  </si>
  <si>
    <t>JOURNAL OF X-RAY SCIENCE AND TECHNOLOGY</t>
  </si>
  <si>
    <t>WOS:001195234800013</t>
  </si>
  <si>
    <t>Zhang, Dongyang</t>
  </si>
  <si>
    <t>The pathway to curb greenwashing in sustainable growth: The role of artificial intelligence</t>
  </si>
  <si>
    <t>WOS:001233469800001</t>
  </si>
  <si>
    <t>Raman, Raghu; Nair, Vinith Kumar; Nedungadi, Prema; Sahu, Aditya Kumar; Kowalski, Robin; Ramanathan, Sasangan; Achuthan, Krishnashree</t>
  </si>
  <si>
    <t>Fake news research trends, linkages to generative artificial intelligence and sustainable development goals</t>
  </si>
  <si>
    <t>HELIYON</t>
  </si>
  <si>
    <t>FEB 15</t>
  </si>
  <si>
    <t>WOS:001177995900001</t>
  </si>
  <si>
    <t>Zhang, Cong; Meng, Yiwen; Ma, Xinyu</t>
  </si>
  <si>
    <t>Artificial intelligence in EFL speaking: Impact on enjoyment, anxiety, and willingness to communicate</t>
  </si>
  <si>
    <t>SYSTEM</t>
  </si>
  <si>
    <t>WOS:001188059800001</t>
  </si>
  <si>
    <t>Yussuf, Raheemat O.; Asfour, Omar S.</t>
  </si>
  <si>
    <t>Applications of artificial intelligence for energy efficiency throughout the building lifecycle: An overview</t>
  </si>
  <si>
    <t>ENERGY AND BUILDINGS</t>
  </si>
  <si>
    <t>WOS:001156143400001</t>
  </si>
  <si>
    <t>Song, Yuegang; Wang, Ziqi; Song, Changqing; Wang, Jianhua; Liu, Rong</t>
  </si>
  <si>
    <t>Impact of artificial intelligence on renewable energy supply chain vulnerability: Evidence from 61 countries</t>
  </si>
  <si>
    <t>WOS:001199300500001</t>
  </si>
  <si>
    <t>Zaretsky, Jonah; Kim, Jeong Min; Baskharoun, Samuel; Zhao, Yunan; Austrian, Jonathan; Aphinyanaphongs, Yindalon; Gupta, Ravi; Blecker, Saul B.; Feldman, Jonah</t>
  </si>
  <si>
    <t>Generative Artificial Intelligence to Transform Inpatient Discharge Summaries to Patient-Friendly Language and Format</t>
  </si>
  <si>
    <t>WOS:001185758300008</t>
  </si>
  <si>
    <t>Fathi, Jalil; Rahimi, Masoud; Derakhshan, Ali</t>
  </si>
  <si>
    <t>Improving EFL learners' speaking skills and willingness to communicate via artificial intelligence-mediated interactions</t>
  </si>
  <si>
    <t>WOS:001184735100001</t>
  </si>
  <si>
    <t>Ku, Edward C. S.; Chen, Chun -Der</t>
  </si>
  <si>
    <t>Artificial intelligence innovation of tourism businesses: From satisfied tourists to continued service usage intention</t>
  </si>
  <si>
    <t>WOS:001218993400001</t>
  </si>
  <si>
    <t>Gajjar, Avi A.; Kumar, Rohit Prem; Paliwoda, Ethan D.; Kuo, Cathleen C.; Adida, Samuel; Legarreta, Andrew D.; Deng, Hansen; Anand, Sharath Kumar; Hamilton, D. Kojo; Agarwal, Nitin; Buell, Thomas J.; Gerszten, Peter C.; Hudson, Joseph S.</t>
  </si>
  <si>
    <t>Usefulness and Accuracy of Artificial Intelligence Chatbot Responses to Patient Questions for Neurosurgical Procedures</t>
  </si>
  <si>
    <t>NEUROSURGERY</t>
  </si>
  <si>
    <t>WOS:001262987400017</t>
  </si>
  <si>
    <t>Aziz, Muhammad; Haghbin, Hossein; Sayeh, Wasef; Alfatlawi, Halah; Gangwani, Manesh K.; Sohail, Amir H.; Zahdeh, Tamer; Weissman, Simcha; Kamal, Faisal; Lee-Smith, Wade; Nawras, Ali; Sharma, Prateek; Shaukat, Aasma</t>
  </si>
  <si>
    <t>Comparison of Artificial Intelligence With Other Interventions to Improve Adenoma Detection Rate for Colonoscopy</t>
  </si>
  <si>
    <t>JOURNAL OF CLINICAL GASTROENTEROLOGY</t>
  </si>
  <si>
    <t>WOS:001154705000015</t>
  </si>
  <si>
    <t>Kang, Yuhao; Gao, Song; Roth, Robert E.</t>
  </si>
  <si>
    <t>Artificial intelligence studies in cartography: a review and synthesis of methods, applications, and ethics</t>
  </si>
  <si>
    <t>CARTOGRAPHY AND GEOGRAPHIC INFORMATION SCIENCE</t>
  </si>
  <si>
    <t>JUL 3</t>
  </si>
  <si>
    <t>WOS:001143020900001</t>
  </si>
  <si>
    <t>Hussain, Iftikhar; Sajjad, Uzair; Kewate, Onkar Jaywant; Amara, Umay; Bibi, Faiza; Hanan, Abdul; Potphode, Darshna; Ahmad, Muhammad; Javed, Muhammad Sufyan; Rosaiah, P.; Hussain, Sajjad; Khanj, Karim; Ajmal, Zeeshan; Punniyakoti, S.; Alarfaji, Saleh S.; Kang, Jee-Hyun; Al Zoubi, Wail; Sahoo, Sumanta; Zhang, Kaili</t>
  </si>
  <si>
    <t>Double transition-metal MXenes: Classification, properties, machine learning, artificial intelligence, and energy storage applications</t>
  </si>
  <si>
    <t>MATERIALS TODAY PHYSICS</t>
  </si>
  <si>
    <t>WOS:001202758200001</t>
  </si>
  <si>
    <t>Garcia-Penalvo, Francisco Jose; Llorens-Largo, Faraon; Vidal, Javier</t>
  </si>
  <si>
    <t>The new reality of education in the face of advances in generative artificial intelligence</t>
  </si>
  <si>
    <t>RIED-REVISTA IBEROAMERICANA DE EDUCACION A DISTANCIA</t>
  </si>
  <si>
    <t>WOS:001137233600013</t>
  </si>
  <si>
    <t>Cold, Kristoffer Mazanti; Xie, Sujun; Nielsen, Anne Orholm; Clementsen, Paul Frost; Konge, Lars</t>
  </si>
  <si>
    <t>Artificial Intelligence Improves Novices' Bronchoscopy Performance A Randomized Controlled Trial in a Simulated Setting</t>
  </si>
  <si>
    <t>CHEST</t>
  </si>
  <si>
    <t>WOS:001169882400001</t>
  </si>
  <si>
    <t>Wu, Jack; Biswas, Dhruva; Ryan, Matthew; Bernstein, Brett M.; Rizvi, Maleeha; Fairhurst, Natalie; Kaye, George; Baral, Ranu; Searle, Tom; Melikian, Narbeh; Sado, Daniel; Luscher, Thomas F.; Grocott-Mason, Richard; Carr-White, Gerald; Teo, James; Dobson, Richard; Bromage, Daniel I.; Mcdonagh, Theresa A.; Shah, Ajay M.; O'Gallagher, Kevin</t>
  </si>
  <si>
    <t>Artificial intelligence methods for improved detection of undiagnosed heart failure with preserved ejection fraction</t>
  </si>
  <si>
    <t>EUROPEAN JOURNAL OF HEART FAILURE</t>
  </si>
  <si>
    <t>WOS:001141661700001</t>
  </si>
  <si>
    <t>Furriel, Brunna C. R. S.; Oliveira, Bruno D.; Proa, Renata; Paiva, Joselisa Q.; Loureiro, Rafael M.; Calixto, Wesley P.; Reis, Marcio R. C.; Giavina-Bianchi, Mara</t>
  </si>
  <si>
    <t>Artificial intelligence for skin cancer detection and classification for clinical environment: a systematic review</t>
  </si>
  <si>
    <t>FRONTIERS IN MEDICINE</t>
  </si>
  <si>
    <t>JAN 8</t>
  </si>
  <si>
    <t>WOS:001154866900001</t>
  </si>
  <si>
    <t>Qin, Meng; Hu, Wei; Qi, Xinzhou; Chang, Tsangyao</t>
  </si>
  <si>
    <t>Do the benefits outweigh the disadvantages? Exploring the role of artificial intelligence in renewable energy</t>
  </si>
  <si>
    <t>WOS:001187789800001</t>
  </si>
  <si>
    <t>Longo, Luca; Brcic, Mario; Cabitza, Federico; Choi, Jaesik; Confalonieri, Roberto; Del Ser, Javier; Guidotti, Riccardo; Hayashi, Yoichi; Herrera, Francisco; Holzinger, Andreas; Jiang, Richard; Khosravi, Hassan; Lecue, Freddy; Malgieri, Gianclaudio; Paez, Andres; Samek, Wojciech; Schneider, Johannes; Speith, Timo; Stumpf, Simone</t>
  </si>
  <si>
    <t>Explainable Artificial Intelligence (XAI) 2.0: A manifesto of open challenges and interdisciplinary research directions</t>
  </si>
  <si>
    <t>WOS:001200047100001</t>
  </si>
  <si>
    <t>Hofmann, Hayden L.; Guerra, Gage A.; Le, Jonathan L.; Wong, Alexander M.; Hofmann, Grady H.; Mayfield, Cory K.; Petrigliano, Frank A.; Liu, Joseph N.</t>
  </si>
  <si>
    <t>The Rapid Development of Artificial Intelligence: GPT-4's Performance on Orthopedic Surgery Board Questions</t>
  </si>
  <si>
    <t>ORTHOPEDICS</t>
  </si>
  <si>
    <t>MAR-APR</t>
  </si>
  <si>
    <t>WOS:001190541800006</t>
  </si>
  <si>
    <t>Kim, Hyunsu; So, Kevin Kam Fung; Shin, Seunghun; Li, Jing</t>
  </si>
  <si>
    <t>Artificial Intelligence in Hospitality and Tourism: Insights From Industry Practices, Research Literature, and Expert Opinions</t>
  </si>
  <si>
    <t>JOURNAL OF HOSPITALITY &amp; TOURISM RESEARCH</t>
  </si>
  <si>
    <t>WOS:001164008800001</t>
  </si>
  <si>
    <t>Zhou, Wei; Zhuang, Yan; Chen, Yan</t>
  </si>
  <si>
    <t>How does artificial intelligence affect pollutant emissions by improving energy efficiency and developing green technology</t>
  </si>
  <si>
    <t>WOS:001176870800001</t>
  </si>
  <si>
    <t>Zhang, Weike; Zeng, Ming</t>
  </si>
  <si>
    <t>Is artificial intelligence a curse or a blessing for enterprise energy intensity? Evidence from China</t>
  </si>
  <si>
    <t>WOS:001233724700001</t>
  </si>
  <si>
    <t>Wang, Bo; Wang, Jianda; Dong, Kangyin; Nepal, Rabindra</t>
  </si>
  <si>
    <t>How does artificial intelligence affect high-quality energy development? Achieving a clean energy transition society</t>
  </si>
  <si>
    <t>ENERGY POLICY</t>
  </si>
  <si>
    <t>WOS:001175568600001</t>
  </si>
  <si>
    <t>Chishti, Muhammad Zubair; Xia, Xiqiang; Dogan, Eyup</t>
  </si>
  <si>
    <t>Understanding the effects of artificial intelligence on energy transition: The moderating role of Paris Agreement</t>
  </si>
  <si>
    <t>WOS:001185669500001</t>
  </si>
  <si>
    <t>Wang, Qiang; Zhang, Fuyu; Li, Rongrong; Sun, Jiayi</t>
  </si>
  <si>
    <t>Does artificial intelligence promote energy transition and curb carbon emissions? The role of trade openness</t>
  </si>
  <si>
    <t>JOURNAL OF CLEANER PRODUCTION</t>
  </si>
  <si>
    <t>APR 1</t>
  </si>
  <si>
    <t>WOS:001202702200001</t>
  </si>
  <si>
    <t>Song, Malin; Pan, Heting; Shen, Zhiyang; Tamayo-Verleene, Kristine</t>
  </si>
  <si>
    <t>Assessing the influence of artificial intelligence on the energy efficiency for sustainable ecological products value</t>
  </si>
  <si>
    <t>WOS:001186473200001</t>
  </si>
  <si>
    <t>Hussain, Murtaza; Yang, Shaohua; Maqsood, Umer Sahil; Zahid, R. M. Ammar</t>
  </si>
  <si>
    <t>Tapping into the green potential: The power of artificial intelligence adoption in corporate green innovation drive</t>
  </si>
  <si>
    <t>BUSINESS STRATEGY AND THE ENVIRONMENT</t>
  </si>
  <si>
    <t>WOS:001157443600001</t>
  </si>
  <si>
    <t>Aminizadeh, Sarina; Heidari, Arash; Dehghan, Mahshid; Toumaj, Shiva; Rezaei, Mahsa; Navimipour, Nima Jafari; Stroppa, Fabio; Unal, Mehmet</t>
  </si>
  <si>
    <t>Opportunities and challenges of artificial intelligence and distributed systems to improve the quality of healthcare service</t>
  </si>
  <si>
    <t>WOS:001175753600001</t>
  </si>
  <si>
    <t>Ma, Shuaiyao; Lei, Lei</t>
  </si>
  <si>
    <t>The factors influencing teacher education students' willingness to adopt artificial intelligence technology for information-based teaching</t>
  </si>
  <si>
    <t>ASIA PACIFIC JOURNAL OF EDUCATION</t>
  </si>
  <si>
    <t>WOS:001142957500001</t>
  </si>
  <si>
    <t>Mogaji, Emmanuel; Viglia, Giampaolo; Srivastava, Pallavi; Dwivedi, Yogesh K.</t>
  </si>
  <si>
    <t>Is it the end of the technology acceptance model in the era of generative artificial intelligence?</t>
  </si>
  <si>
    <t>SEP 2</t>
  </si>
  <si>
    <t>WOS:001142932400001</t>
  </si>
  <si>
    <t>Zeng, Hongjun; Abedin, Mohammad Zoynul; Zhou, Xiangjing; Lu, Ran</t>
  </si>
  <si>
    <t>Measuring the extreme linkages and time-frequency co-movements among artificial intelligence and clean energy indices</t>
  </si>
  <si>
    <t>INTERNATIONAL REVIEW OF FINANCIAL ANALYSIS</t>
  </si>
  <si>
    <t>WOS:001168183800001</t>
  </si>
  <si>
    <t>Roosan, Don; Padua, Pauline; Khan, Raiyan; Khan, Hasiba; Verzosa, Claudia; Wu, Yanting</t>
  </si>
  <si>
    <t>Effectiveness of ChatGPT in clinical pharmacy and the role of artificial intelligence in medication therapy management</t>
  </si>
  <si>
    <t>JOURNAL OF THE AMERICAN PHARMACISTS ASSOCIATION</t>
  </si>
  <si>
    <t>WOS:001225862200001</t>
  </si>
  <si>
    <t>Blease, Charlotte; Worthen, Abigail; Torous, John</t>
  </si>
  <si>
    <t>Psychiatrists' experiences and opinions of generative artificial intelligence in mental healthcare: An online mixed methods survey</t>
  </si>
  <si>
    <t>PSYCHIATRY RESEARCH</t>
  </si>
  <si>
    <t>WOS:001175305200001</t>
  </si>
  <si>
    <t>Schiavo, Gianluca; Businaro, Stefano; Zancanaro, Massimo</t>
  </si>
  <si>
    <t>Comprehension, apprehension, and acceptance: Understanding the influence of literacy and anxiety on acceptance of artificial Intelligence</t>
  </si>
  <si>
    <t>TECHNOLOGY IN SOCIETY</t>
  </si>
  <si>
    <t>WOS:001225595300001</t>
  </si>
  <si>
    <t>Polyportis, Athanasios; Pahos, Nikolaos</t>
  </si>
  <si>
    <t>Navigating the perils of artificial intelligence: a focused review on ChatGPT and responsible research and innovation</t>
  </si>
  <si>
    <t>JAN 15</t>
  </si>
  <si>
    <t>WOS:001142978400003</t>
  </si>
  <si>
    <t>Haber, Yuval; Levkovich, Inbar; Hadar-Shoval, Dorit; Elyoseph, Zohar</t>
  </si>
  <si>
    <t>The Artificial Third: A Broad View of the Effects of Introducing Generative Artificial Intelligence on Psychotherapy</t>
  </si>
  <si>
    <t>JMIR MENTAL HEALTH</t>
  </si>
  <si>
    <t>WOS:001233436400001</t>
  </si>
  <si>
    <t>Nogueira-Reis, Fernanda; Morgan, Nermin; Suryani, Isti Rahayu; Tabchoury, Cinthia Pereira Machado; Jacobs, Reinhilde</t>
  </si>
  <si>
    <t>Full virtual patient generated by artificial intelligence-driven integrated segmentation of craniomaxillofacial structures from CBCT images</t>
  </si>
  <si>
    <t>JOURNAL OF DENTISTRY</t>
  </si>
  <si>
    <t>WOS:001164332300001</t>
  </si>
  <si>
    <t>Bhattacharya, Sourabh; Govindan, Kannan; Dastidar, Surajit Ghosh; Sharma, Preeti</t>
  </si>
  <si>
    <t>Applications of artificial intelligence in closed-loop supply chains: Systematic literature review and future research agenda</t>
  </si>
  <si>
    <t>TRANSPORTATION RESEARCH PART E-LOGISTICS AND TRANSPORTATION REVIEW</t>
  </si>
  <si>
    <t>WOS:001198784300001</t>
  </si>
  <si>
    <t>Sullivan, Yulia; Wamba, Samuel Fosso</t>
  </si>
  <si>
    <t>Artificial intelligence and adaptive response to market changes: A strategy to enhance firm performance and innovation</t>
  </si>
  <si>
    <t>WOS:001161626600001</t>
  </si>
  <si>
    <t>Nguyen, Andy; Hong, Yvonne; Dang, Belle; Huang, Xiaoshan</t>
  </si>
  <si>
    <t>Human-AI collaboration patterns in AI-assisted academic writing</t>
  </si>
  <si>
    <t>STUDIES IN HIGHER EDUCATION</t>
  </si>
  <si>
    <t>MAY 3</t>
  </si>
  <si>
    <t>WOS:001171635700001</t>
  </si>
  <si>
    <t>Osipov, Arsen; Nikolic, Ognjen; Gertych, Arkadiusz; Parker, Sarah; Hendifar, Andrew; Singh, Pranav; Filippova, Darya; Dagliyan, Grant; Ferrone, Cristina R.; Zheng, Lei; Moore, Jason H.; Tourtellotte, Warren; Van Eyk, Jennifer E.; Theodorescu, Dan</t>
  </si>
  <si>
    <t>The Molecular Twin artificial-intelligence platform integrates multi-omic data to predict outcomes for pancreatic adenocarcinoma patients</t>
  </si>
  <si>
    <t>NATURE CANCER</t>
  </si>
  <si>
    <t>WOS:001150016000001</t>
  </si>
  <si>
    <t>Li, Yunjian; Song, Yixiao; Sun, Yanming; Zeng, Mingzhuo</t>
  </si>
  <si>
    <t>When do employees learn from artificial intelligence? The moderating effects of perceived enjoyment and task-related complexity</t>
  </si>
  <si>
    <t>WOS:001219325600001</t>
  </si>
  <si>
    <t>Rad, Hanieh Shafiee</t>
  </si>
  <si>
    <t>Revolutionizing L2 speaking proficiency, willingness to communicate, and perceptions through artificial intelligence: a case of Speeko application</t>
  </si>
  <si>
    <t>INNOVATION IN LANGUAGE LEARNING AND TEACHING</t>
  </si>
  <si>
    <t>AUG 7</t>
  </si>
  <si>
    <t>WOS:001152091600001</t>
  </si>
  <si>
    <t>Paslia, Sinan; Sahin, Abdul Samet; Beser, Muhammet Fatih; Topcuoglu, Hazal; Yadigaroglu, Metin; Imamoglu, Melih</t>
  </si>
  <si>
    <t>Assessing the precision of artificial intelligence in emergency department triage decisions: Insights from a study with ChatGPT</t>
  </si>
  <si>
    <t>AMERICAN JOURNAL OF EMERGENCY MEDICINE</t>
  </si>
  <si>
    <t>WOS:001178175800001</t>
  </si>
  <si>
    <t>Hurley, Eoghan T.; Crook, Bryan S.; Lorentz, Samuel G.; Danilkowicz, Richard M.; Lau, Brian C.; Taylor, Dean C.; Dickens, Jonathan F.; Anakwenze, Oke; Klifto, Christopher S.</t>
  </si>
  <si>
    <t>Evaluation High-Quality of Information from ChatGPT (Artificial IntelligencedLarge Language Model) Artificial Intelligence on Shoulder Stabilization Surgery</t>
  </si>
  <si>
    <t>ARTHROSCOPY-THE JOURNAL OF ARTHROSCOPIC AND RELATED SURGERY</t>
  </si>
  <si>
    <t>WOS:001196995100001</t>
  </si>
  <si>
    <t>Zhu, Xiaogang; Ma, Feicheng; Ding, Feng; Guo, Zhiwei; Yang, Junchao; Yu, Keping</t>
  </si>
  <si>
    <t>A Low-Latency Edge Computation Offloading Scheme for Trust Evaluation in Finance-Level Artificial Intelligence of Things</t>
  </si>
  <si>
    <t>IEEE INTERNET OF THINGS JOURNAL</t>
  </si>
  <si>
    <t>JAN 1</t>
  </si>
  <si>
    <t>WOS:001256612300004</t>
  </si>
  <si>
    <t>Jackson, Ilya; Ivanov, Dmitry; Dolgui, Alexandre; Namdar, Jafar</t>
  </si>
  <si>
    <t>Generative artificial intelligence in supply chain and operations management: a capability-based framework for analysis and implementation</t>
  </si>
  <si>
    <t>INTERNATIONAL JOURNAL OF PRODUCTION RESEARCH</t>
  </si>
  <si>
    <t>SEP 1</t>
  </si>
  <si>
    <t>WOS:001154162700001</t>
  </si>
  <si>
    <t>Ghanem, Yazid K.; Rouhi, Armaun D.; Al-Houssan, Ammr; Saleh, Zena; Moccia, Matthew C.; Joshi, Hansa; Dumon, Kristoffel R.; Hong, Young; Spitz, Francis; Joshi, Amit R.; Kwiatt, Michael</t>
  </si>
  <si>
    <t>Dr. Google to Dr. ChatGPT: assessing the content and quality of artificial intelligence-generated medical information on appendicitis</t>
  </si>
  <si>
    <t>SURGICAL ENDOSCOPY AND OTHER INTERVENTIONAL TECHNIQUES</t>
  </si>
  <si>
    <t>WOS:001176403700002</t>
  </si>
  <si>
    <t>Wang, Xiaoyi; Qiu, Xingyi</t>
  </si>
  <si>
    <t>The positive effect of artificial intelligence technology transparency on digital endorsers: Based on the theory of mind perception</t>
  </si>
  <si>
    <t>JOURNAL OF RETAILING AND CONSUMER SERVICES</t>
  </si>
  <si>
    <t>WOS:001208387000001</t>
  </si>
  <si>
    <t>Lin, Jiabao; Zeng, Yanyun; Wu, Shaowu; Luo, Xin (Robert)</t>
  </si>
  <si>
    <t>How does artificial intelligence affect the environmental performance of organizations? The role of green innovation and green culture</t>
  </si>
  <si>
    <t>INFORMATION &amp; MANAGEMENT</t>
  </si>
  <si>
    <t>WOS:001175969100001</t>
  </si>
  <si>
    <t>Wolf, Risa M.; Channa, Roomasa; Liu, T. Y. Alvin; Zehra, Anum; Bromberger, Lee; Patel, Dhruva; Ananthakrishnan, Ajaykarthik; Brown, Elizabeth A.; Prichett, Laura; Lehmann, Harold P.; Abramoff, Michael D.</t>
  </si>
  <si>
    <t>Autonomous artificial intelligence increases screening and follow-up for diabetic retinopathy in youth: the ACCESS randomized control trial</t>
  </si>
  <si>
    <t>NATURE COMMUNICATIONS</t>
  </si>
  <si>
    <t>JAN 11</t>
  </si>
  <si>
    <t>WOS:001141821400027</t>
  </si>
  <si>
    <t>Hubert, Kent F.; Awa, Kim N.; Zabelina, Darya L.</t>
  </si>
  <si>
    <t>The current state of artificial intelligence generative language models is more creative than humans on divergent thinking tasks</t>
  </si>
  <si>
    <t>FEB 10</t>
  </si>
  <si>
    <t>WOS:001160069200016</t>
  </si>
  <si>
    <t>Ganjavi, Conner; Eppler, Michael B.; Pekcan, Asli; Biedermann, Brett; Abreu, Andre; Collins, Gary S.; Gill, Inderbir S.; Cacciamani, Giovanni E.</t>
  </si>
  <si>
    <t>Publishers' and journals' instructions to authors on use of generative artificial intelligence in academic and scientific publishing: bibliometric analysis</t>
  </si>
  <si>
    <t>BMJ-BRITISH MEDICAL JOURNAL</t>
  </si>
  <si>
    <t>JAN 31</t>
  </si>
  <si>
    <t>WOS:001198653600005</t>
  </si>
  <si>
    <t>Xu, Ying; Cugurullo, Federico; Zhang, Heming; Gaio, Alexander; Zhang, Weishi</t>
  </si>
  <si>
    <t>The Emergence of Artificial Intelligence in Anticipatory Urban Governance: Multi-Scalar Evidence of China's Transition to City Brains</t>
  </si>
  <si>
    <t>JOURNAL OF URBAN TECHNOLOGY</t>
  </si>
  <si>
    <t>2024 JAN 24</t>
  </si>
  <si>
    <t>WOS:001148686600001</t>
  </si>
  <si>
    <t>Li, Ming-Yin; Huang, Chung-Feng; Hung, Chao-Hung; Tai, Chi-Ming; Mo, Lein-Ray; Kuo, Hsing-Tao; Tseng, Kuo-Chih; Lo, Ching-Chu; Bair, Ming-Jong; Wang, Szu-Jen; Huang, Jee-Fu; Yeh, Ming-Lun; Chen, Chun-Ting; Tsai, Ming-Chang; Huang, Chien-Wei; Lee, Pei-Lun; Yang, Tzeng-Hue; Huang, Yi-Hsiang; Chong, Lee-Won; Chen, Chien-Lin; Yang, Chi-Chieh; Yang, Sheng-Shun; Cheng, Pin-Nan; Hsieh, Tsai-Yuan; Hu, Jui-Ting; Wu, Wen-Chih; Cheng, Chien -Yu; Chen, Guei-Ying; Zhou, Guo-Xiong; Tsai, Wei-Lun; Kao, Chien-Neng; Lin, Chih-Lang; Wang, Chia -Chi; Lin, Ta-Ya; Lin, Chih-Lin; Su, Wei -Wen; Lee, Tzong-Hsi; Chang, Te-Sheng; Liu, Chun-Jen; Dai, Chia -Yen; Kao, Jia-Horng; Lin, Han-Chie; Chuang, Wan -Long; Peng, Cheng-Yuan; Tsai, Chun-Wei; Chen, Chi-Yi; Yu, Ming-Lung</t>
  </si>
  <si>
    <t>Artificial intelligence predicts direct-acting antivirals failure among hepatitis C virus patients: A nationwide hepatitis C virus registry program</t>
  </si>
  <si>
    <t>CLINICAL AND MOLECULAR HEPATOLOGY</t>
  </si>
  <si>
    <t>WOS:001186681200006</t>
  </si>
  <si>
    <t>Wamba, Samuel Fosso; Guthrie, Cameron; Queiroz, Maciel M.; Minner, Stefan</t>
  </si>
  <si>
    <t>ChatGPT and generative artificial intelligence: an exploratory study of key benefits and challenges in operations and supply chain management</t>
  </si>
  <si>
    <t>AUG 17</t>
  </si>
  <si>
    <t>WOS:001263296400017</t>
  </si>
  <si>
    <t>Tossell, Chad C.; Tenhundfeld, Nathan L.; Momen, Ali; Cooley, Katrina; de Visser, Ewart J.</t>
  </si>
  <si>
    <t>Student Perceptions of ChatGPT Use in a College Essay Assignment: Implications for Learning, Grading, and Trust in Artificial Intelligence</t>
  </si>
  <si>
    <t>IEEE TRANSACTIONS ON LEARNING TECHNOLOGIES</t>
  </si>
  <si>
    <t>WOS:001167387200001</t>
  </si>
  <si>
    <t>Yin, Yidan; Jia, Nan; Wakslak, Cheryl J.</t>
  </si>
  <si>
    <t>AI can help people feel heard, but an AI label diminishes this impact</t>
  </si>
  <si>
    <t>PROCEEDINGS OF THE NATIONAL ACADEMY OF SCIENCES OF THE UNITED STATES OF AMERICA</t>
  </si>
  <si>
    <t>APR 2</t>
  </si>
  <si>
    <t>WOS:001208829600002</t>
  </si>
  <si>
    <t>Atkinson, Connor J.; Seth, Ishith; Xie, Yi; Ross, Richard J.; Hunter-Smith, David J.; Rozen, Warren M.; Cuomo, Roberto</t>
  </si>
  <si>
    <t>Artificial Intelligence Language Model Performance for Rapid Intraoperative Queries in Plastic Surgery: ChatGPT and the Deep Inferior Epigastric Perforator Flap</t>
  </si>
  <si>
    <t>JOURNAL OF CLINICAL MEDICINE</t>
  </si>
  <si>
    <t>WOS:001160071600001</t>
  </si>
  <si>
    <t>Liu, Guangxiang Leon; Darvin, Ron; Ma, Chaojun</t>
  </si>
  <si>
    <t>Exploring AI-mediated informal digital learning of English (AI-IDLE): a mixed-method investigation of Chinese EFL learners' AI adoption and experiences</t>
  </si>
  <si>
    <t>COMPUTER ASSISTED LANGUAGE LEARNING</t>
  </si>
  <si>
    <t>2024 JAN 23</t>
  </si>
  <si>
    <t>WOS:001154632500001</t>
  </si>
  <si>
    <t>Rasheed, Hafiz Muhammad Wasif; He, Yuanqiong; Khizar, Hafiz Muhammad Usman; Khalid, Junaid</t>
  </si>
  <si>
    <t>What drives the adoption of artificial intelligence among consumers in the hospitality sector: a systematic literature review and future agenda</t>
  </si>
  <si>
    <t>JOURNAL OF HOSPITALITY AND TOURISM TECHNOLOGY</t>
  </si>
  <si>
    <t>MAR 5</t>
  </si>
  <si>
    <t>WOS:001143034400001</t>
  </si>
  <si>
    <t>Zhu, Wenjuan; Huang, Lei; Zhou, Xinni; Li, Xiaoya; Shi, Gaojun; Ying, Jingxin; Wang, Chaoyue</t>
  </si>
  <si>
    <t>Could AI Ethical Anxiety, Perceived Ethical Risks and Ethical Awareness About AI Influence University Students' Use of Generative AI Products? An Ethical Perspective</t>
  </si>
  <si>
    <t>INTERNATIONAL JOURNAL OF HUMAN-COMPUTER INTERACTION</t>
  </si>
  <si>
    <t>WOS:001181029900001</t>
  </si>
  <si>
    <t>Robertson, Jeandri; Ferreira, Caitlin; Botha, Elsamari; Oosthuizen, Kim</t>
  </si>
  <si>
    <t>Game changers: A generative AI prompt protocol to enhance human-AI knowledge co-construction</t>
  </si>
  <si>
    <t>BUSINESS HORIZONS</t>
  </si>
  <si>
    <t>SEP-OCT</t>
  </si>
  <si>
    <t>WOS:001301369500001</t>
  </si>
  <si>
    <t>Zhang, Jingyu; Liu, Lilu; Xiang, Pingyu; Fang, Qin; Nie, Xiuping; Ma, Honghai; Hu, Jian; Xiong, Rong; Wang, Yue; Lu, Haojian</t>
  </si>
  <si>
    <t>AI co-pilot bronchoscope robot</t>
  </si>
  <si>
    <t>JAN 4</t>
  </si>
  <si>
    <t>WOS:001136406000007</t>
  </si>
  <si>
    <t>Bower, Matt; Torrington, Jodie; Lai, Jennifer W. M.; Petocz, Peter; Alfano, Mark</t>
  </si>
  <si>
    <t>How should we change teaching and assessment in response to increasingly powerful generative Artificial Intelligence? Outcomes of the ChatGPT teacher survey</t>
  </si>
  <si>
    <t>EDUCATION AND INFORMATION TECHNOLOGIES</t>
  </si>
  <si>
    <t>WOS:001148511700001</t>
  </si>
  <si>
    <t>Yang, Jaewon; Ardavanis, Kyle S.; Slack, Katherine E.; Fernando, Navin D.; Della Valle, Craig J.; Hernandez, Nicholas M.</t>
  </si>
  <si>
    <t>Chat Generative Pretrained Transformer (ChatGPT) and Bard: Artificial Intelligence Does not yet Provide Clinically Supported Answers for Hip and Knee Osteoarthritis</t>
  </si>
  <si>
    <t>JOURNAL OF ARTHROPLASTY</t>
  </si>
  <si>
    <t>WOS:001233370000001</t>
  </si>
  <si>
    <t>Tanantong, Tanatorn; Wongras, Piriyapong</t>
  </si>
  <si>
    <t>A UTAUT-Based Framework for Analyzing Users' Intention to Adopt Artificial Intelligence in Human Resource Recruitment: A Case Study of Thailand</t>
  </si>
  <si>
    <t>SYSTEMS</t>
  </si>
  <si>
    <t>WOS:001151360700001</t>
  </si>
  <si>
    <t>Zhi, Ran; Wang, Yongxiang</t>
  </si>
  <si>
    <t>On the relationship between EFL students' attitudes toward artificial intelligence, teachers' immediacy and teacher-student rapport, and their willingness to communicate</t>
  </si>
  <si>
    <t>WOS:001259193200001</t>
  </si>
  <si>
    <t>Zhou, Wangni; Zhang, Yuqin; Li, Xuekun</t>
  </si>
  <si>
    <t>Artificial intelligence, green technological progress, energy conservation, and carbon emission reduction in China: An examination based on dynamic spatial Durbin modeling</t>
  </si>
  <si>
    <t>MAR 25</t>
  </si>
  <si>
    <t>WOS:001198241400001</t>
  </si>
  <si>
    <t>Lan, Yu-Ju; Chen, Nian-Shing</t>
  </si>
  <si>
    <t>Teachers'' agency in the era agency of LLM and generative AI: Designing pedagogical AI agents</t>
  </si>
  <si>
    <t>EDUCATIONAL TECHNOLOGY &amp; SOCIETY</t>
  </si>
  <si>
    <t>WOS:001167911000001</t>
  </si>
  <si>
    <t>Ye, Carrie; Zweck, Elric; Ma, Zechen; Smith, Justin; Katz, Steven</t>
  </si>
  <si>
    <t>Doctor Versus Artificial Intelligence: Patient and Physician Evaluation of Large Language Model Responses to Rheumatology Patient Questions in a Cross-Sectional Study</t>
  </si>
  <si>
    <t>ARTHRITIS &amp; RHEUMATOLOGY</t>
  </si>
  <si>
    <t>WOS:001144922400001</t>
  </si>
  <si>
    <t>Kiyak, Yavuz Selim; Coskun, Ozlem; Budakoglu, Isil Irem; Uluoglu, Canan</t>
  </si>
  <si>
    <t>ChatGPT for generating multiple-choice questions: Evidence on the use of artificial intelligence in automatic item generation for a rational pharmacotherapy exam</t>
  </si>
  <si>
    <t>EUROPEAN JOURNAL OF CLINICAL PHARMACOLOGY</t>
  </si>
  <si>
    <t>WOS:001161812200004</t>
  </si>
  <si>
    <t>Shin, Donghee; Koerber, Amy; Lim, Joon Soo</t>
  </si>
  <si>
    <t>Impact of misinformation from generative AI on user information processing: How people understand misinformation from generative AI</t>
  </si>
  <si>
    <t>NEW MEDIA &amp; SOCIETY</t>
  </si>
  <si>
    <t>2024 MAR 20</t>
  </si>
  <si>
    <t>WOS:001189601300001</t>
  </si>
  <si>
    <t>Abulibdeh, Ammar; Zaidan, Esmat; Abulibdeh, Rawan</t>
  </si>
  <si>
    <t>Navigating the confluence of artificial intelligence and education for sustainable development in the era of industry 4.0: Challenges, opportunities, and ethical dimensions</t>
  </si>
  <si>
    <t>WOS:001164323600001</t>
  </si>
  <si>
    <t>Shahzad, Muhammad Farrukh; Xu, Shuo; Lim, Weng Marc; Yang, Xingbing; Khan, Qasim Raza</t>
  </si>
  <si>
    <t>Artificial intelligence and social media on academic performance and mental well-being: Student perceptions of positive impact in the age of smart learning</t>
  </si>
  <si>
    <t>APR 30</t>
  </si>
  <si>
    <t>WOS:001295374100001</t>
  </si>
  <si>
    <t>Kim, Keunjae; Kwon, Kyungbin</t>
  </si>
  <si>
    <t>Tangible computing tools in AI education: Approach to improve elementary students' knowledge, perception, and behavioral intention towards AI</t>
  </si>
  <si>
    <t>SEP</t>
  </si>
  <si>
    <t>WOS:001157146900002</t>
  </si>
  <si>
    <t>Hashmi, Nada; Bal, Anjali S.</t>
  </si>
  <si>
    <t>Generative AI in higher education and beyond</t>
  </si>
  <si>
    <t>WOS:001301383700001</t>
  </si>
  <si>
    <t>Bai, Long; Wu, Yan; Li, Guangfeng; Zhang, Wencai; Zhang, Hao; Su, Jiacan</t>
  </si>
  <si>
    <t>AI-enabled organoids: Construction, analysis, and application</t>
  </si>
  <si>
    <t>BIOACTIVE MATERIALS</t>
  </si>
  <si>
    <t>WOS:001235208300001</t>
  </si>
  <si>
    <t>Murugan, Mullai; Yuan, Bo; Venner, Eric; Ballantyne, Christie M.; Robinson, Katherine M.; Coons, James C.; Wang, Liwen; Empey, Philip E.; Gibbs, Richard A.</t>
  </si>
  <si>
    <t>Empowering personalized pharmacogenomics with generative AI solutions</t>
  </si>
  <si>
    <t>JOURNAL OF THE AMERICAN MEDICAL INFORMATICS ASSOCIATION</t>
  </si>
  <si>
    <t>MAY 20</t>
  </si>
  <si>
    <t>WOS:001179493300001</t>
  </si>
  <si>
    <t>Bayareh, Morteza; Baghoolizadeh, Mohammadreza</t>
  </si>
  <si>
    <t>An overview of the magnetic field effect on heat transfer and entropy generation in cavities: Application of the second law of thermodynamics and artificial intelligence</t>
  </si>
  <si>
    <t>INTERNATIONAL COMMUNICATIONS IN HEAT AND MASS TRANSFER</t>
  </si>
  <si>
    <t>WOS:001156136200001</t>
  </si>
  <si>
    <t>Ding, Linqian; Zou, Di</t>
  </si>
  <si>
    <t>Automated writing evaluation systems: A systematic review of Grammarly, Pigai, and Criterion with a perspective on future directions in the age of generative artificial intelligence</t>
  </si>
  <si>
    <t>2024 JAN 3</t>
  </si>
  <si>
    <t>WOS:001134146100001</t>
  </si>
  <si>
    <t>Hussain, Fizza; Ali, Yasir; Li, Yuefeng; Haque, Md Mazharul</t>
  </si>
  <si>
    <t>Revisiting the hybrid approach of anomaly detection and extreme value theory for estimating pedestrian crashes using traffic conflicts obtained from artificial intelligence-based video analytics</t>
  </si>
  <si>
    <t>ACCIDENT ANALYSIS AND PREVENTION</t>
  </si>
  <si>
    <t>WOS:001209336300001</t>
  </si>
  <si>
    <t>Kim, Jeong Soo; Kim, Minseong; Baek, Tae Hyun</t>
  </si>
  <si>
    <t>Enhancing User Experience With a Generative AI Chatbot</t>
  </si>
  <si>
    <t>WOS:001162058600001</t>
  </si>
  <si>
    <t>Lu, Ming Y.; Chen, Bowen; Williamson, Drew F. K.; Chen, Richard J.; Zhao, Melissa; Chow, Aaron K.; Ikemura, Kenji; Kim, Ahrong; Pouli, Dimitra; Patel, Ankush; Soliman, Amr; Chen, Chengkuan; Ding, Tong; Wang, Judy J.; Gerber, Georg; Liang, Ivy; Le, Long Phi; Parwani, Anil V.; Weishaupt, Luca L.; Mahmood, Faisal</t>
  </si>
  <si>
    <t>A multimodal generative AI copilot for human pathology</t>
  </si>
  <si>
    <t>NATURE</t>
  </si>
  <si>
    <t>OCT 10</t>
  </si>
  <si>
    <t>WOS:001315117500001</t>
  </si>
  <si>
    <t>Stein, Jan-Philipp; Messingschlager, Tanja; Gnambs, Timo; Hutmacher, Fabian; Appel, Markus</t>
  </si>
  <si>
    <t>Attitudes towards AI: measurement and associations with personality</t>
  </si>
  <si>
    <t>FEB 5</t>
  </si>
  <si>
    <t>WOS:001262541100071</t>
  </si>
  <si>
    <t>Huang, Ming-Hui; Rust, Roland T.</t>
  </si>
  <si>
    <t>The Caring Machine: Feeling AI for Customer Care</t>
  </si>
  <si>
    <t>JOURNAL OF MARKETING</t>
  </si>
  <si>
    <t>WOS:001189079300001</t>
  </si>
  <si>
    <t>Jecker, Nancy S.; Atuire, Caesar Alimsinya; Belisle-Pipon, Jean-Christophe; Ravitsky, Vardit; Ho, Anita</t>
  </si>
  <si>
    <t>AI and the falling sky: interrogating X-Risk</t>
  </si>
  <si>
    <t>JOURNAL OF MEDICAL ETHICS</t>
  </si>
  <si>
    <t>DEC</t>
  </si>
  <si>
    <t>WOS:001202000900001</t>
  </si>
  <si>
    <t>Loeffler, Hannes H.; He, Jiazhen; Tibo, Alessandro; Janet, Jon Paul; Voronov, Alexey; Mervin, Lewis H.; Engkvist, Ola</t>
  </si>
  <si>
    <t>Reinvent 4: Modern AI-driven generative molecule design</t>
  </si>
  <si>
    <t>JOURNAL OF CHEMINFORMATICS</t>
  </si>
  <si>
    <t>FEB 21</t>
  </si>
  <si>
    <t>WOS:001166608800001</t>
  </si>
  <si>
    <t>Shumailov, Ilia; Shumaylov, Zakhar; Zhao, Yiren; Papernot, Nicolas; Anderson, Ross; Gal, Yarin</t>
  </si>
  <si>
    <t>AI models collapse when trained on recursively generated data</t>
  </si>
  <si>
    <t>JUL 25</t>
  </si>
  <si>
    <t>WOS:001276386200003</t>
  </si>
  <si>
    <t>Bouzid, Taoufiq; Grich, Abdelali; Naboulsi, Aicha; Regti, Abdelmajid; El Himri, Mamoune; El Haddad, Mohammadine</t>
  </si>
  <si>
    <t>Optimizing Eriochrome Black T adsorption through In-Situ polymerization of Poly(aniline-co-formaldehyde) on biochar: Multivariate approach using full factorial Design, Box-Behnken, Artificial intelligence, and DFT</t>
  </si>
  <si>
    <t>SEPARATION AND PURIFICATION TECHNOLOGY</t>
  </si>
  <si>
    <t>DEC 24</t>
  </si>
  <si>
    <t>WOS:001249330800003</t>
  </si>
  <si>
    <t>Valaskova, Katarina; Nagy, Marek; Grecu, Gheorghe</t>
  </si>
  <si>
    <t>Digital twin simulation modeling, artificial intelligence-based Internet of Manufacturing Things systems, and virtual machine and cognitive computing algorithms in the Industry 4.0-based Slovak labor market</t>
  </si>
  <si>
    <t>OECONOMIA COPERNICANA</t>
  </si>
  <si>
    <t>WOS:001198847600009</t>
  </si>
  <si>
    <t>Zhang, Peiying; Chen, Ning; Shen, Shigen; Yu, Shui; Kumar, Neeraj; Hsu, Ching-Hsien</t>
  </si>
  <si>
    <t>AI-Enabled Space-Air-Ground Integrated Networks: Management and Optimization</t>
  </si>
  <si>
    <t>IEEE NETWORK</t>
  </si>
  <si>
    <t>WOS:001221310400037</t>
  </si>
  <si>
    <t>Grewal, Dhruv; Guha, Abhijit; Becker, Marc</t>
  </si>
  <si>
    <t>AI is Changing the World: For Better or for Worse?</t>
  </si>
  <si>
    <t>JOURNAL OF MACROMARKETING</t>
  </si>
  <si>
    <t>WOS:001229748600001</t>
  </si>
  <si>
    <t>Matz, S. C.; Teeny, J. D.; Vaid, S. S.; Peters, H.; Harari, G. M.; Cerf, M.</t>
  </si>
  <si>
    <t>The potential of generative AI for personalized persuasion at scale</t>
  </si>
  <si>
    <t>WOS:001177429500111</t>
  </si>
  <si>
    <t>Kuckelman, Ian J.; Yi, Paul H.; Bui, Molinna; Onuh, Ifeanyi; Anderson, Jade A.; Ross, Andrew B.</t>
  </si>
  <si>
    <t>Assessing AI-Powered Patient Education: A Case Study in Radiology</t>
  </si>
  <si>
    <t>ACADEMIC RADIOLOGY</t>
  </si>
  <si>
    <t>WOS:001155058900001</t>
  </si>
  <si>
    <t>Bouderhem, Rabai</t>
  </si>
  <si>
    <t>Shaping the future of AI in healthcare through ethics and governance</t>
  </si>
  <si>
    <t>MAR 15</t>
  </si>
  <si>
    <t>WOS:001185882900006</t>
  </si>
  <si>
    <t>Varghese, Julian; Chapiro, Julius</t>
  </si>
  <si>
    <t>ChatGPT: The transformative influence of generative AI on science and healthcare</t>
  </si>
  <si>
    <t>JOURNAL OF HEPATOLOGY</t>
  </si>
  <si>
    <t>WOS:001266880400001</t>
  </si>
  <si>
    <t>Aguinis, Herman; Beltran, Jose R.; Cope, Amando</t>
  </si>
  <si>
    <t>How to use generative AI as a human resource management assistant</t>
  </si>
  <si>
    <t>ORGANIZATIONAL DYNAMICS</t>
  </si>
  <si>
    <t>JAN-MAR</t>
  </si>
  <si>
    <t>WOS:001198235300001</t>
  </si>
  <si>
    <t>Banihashem, Seyyed Kazem; Kerman, Nafiseh Taghizadeh; Noroozi, Omid; Moon, Jewoong; Drachsler, Hendrik</t>
  </si>
  <si>
    <t>Feedback sources in essay writing: peer-generated or AI-generated feedback?</t>
  </si>
  <si>
    <t>APR 12</t>
  </si>
  <si>
    <t>WOS:001200415300001</t>
  </si>
  <si>
    <t>Aldoseri, Abdulaziz; Al-Khalifa, Khalifa N.; Hamouda, Abdel Magid</t>
  </si>
  <si>
    <t>AI-Powered Innovation in Digital Transformation: Key Pillars and Industry Impact</t>
  </si>
  <si>
    <t>SUSTAINABILITY</t>
  </si>
  <si>
    <t>WOS:001182929000001</t>
  </si>
  <si>
    <t>Nachbar, Marcel; lo Russo, Monica; Gani, Cihan; Boeke, Simon; Wegener, Daniel; Paulsen, Frank; Zips, Daniel; Roque, Thais; Paragios, Nikos; Thorwarth, Daniela</t>
  </si>
  <si>
    <t>Automatic AI-based contouring of prostate MRI for online adaptive radiotherapy</t>
  </si>
  <si>
    <t>ZEITSCHRIFT FUR MEDIZINISCHE PHYSIK</t>
  </si>
  <si>
    <t>WOS:001246833800001</t>
  </si>
  <si>
    <t>Wen, Dingzhu; Jiao, Xiang; Liu, Peixi; Zhu, Guangxu; Shi, Yuanming; Huang, Kaibin</t>
  </si>
  <si>
    <t>Task-Oriented Over-the-Air Computation for Multi-Device Edge AI</t>
  </si>
  <si>
    <t>IEEE TRANSACTIONS ON WIRELESS COMMUNICATIONS</t>
  </si>
  <si>
    <t>WOS:001196528600011</t>
  </si>
  <si>
    <t>Yu, Feiyang; Moehring, Alex; Banerjee, Oishi; Salz, Tobias; Agarwal, Nikhil; Rajpurkar, Pranav</t>
  </si>
  <si>
    <t>Heterogeneity and predictors of the effects of AI assistance on radiologists</t>
  </si>
  <si>
    <t>NATURE MEDICINE</t>
  </si>
  <si>
    <t>WOS:001187561800004</t>
  </si>
  <si>
    <t>Kollitsch, Lisa; Eredics, Klaus; Marszalek, Martin; Rauchenwald, Michael; Brookman-May, Sabine D.; Burger, Maximilian; Koerner-Riffard, Katharina; May, Matthias</t>
  </si>
  <si>
    <t>How does artificial intelligence master urological board examinations? A comparative analysis of different Large Language Models' accuracy and reliability in the 2022 In-Service Assessment of the European Board of Urology</t>
  </si>
  <si>
    <t>WORLD JOURNAL OF UROLOGY</t>
  </si>
  <si>
    <t>WOS:001140498100005</t>
  </si>
  <si>
    <t>Chanda, Tirtha; Hauser, Katja; Hobelsberger, Sarah; Bucher, Tabea-Clara; Garcia, Carina Nogueira; Wies, Christoph; Kittler, Harald; Tschandl, Philipp; Navarrete-Dechent, Cristian; Podlipnik, Sebastian; Chousakos, Emmanouil; Crnaric, Iva; Majstorovic, Jovana; Alhajwan, Linda; Foreman, Tanya; Peternel, Sandra; Sarap, Sergei; Ozdemir, Irem; Barnhill, Raymond L.; Llamas-Velasco, Mar; Poch, Gabriela; Korsing, Soeren; Sondermann, Wiebke; Gellrich, Frank Friedrich; Heppt, Markus V.; Erdmann, Michael; Haferkamp, Sebastian; Drexler, Konstantin; Goebeler, Matthias; Schilling, Bastian; Utikal, Jochen S.; Ghoreschi, Kamran; Froehling, Stefan; Krieghoff-Henning, Eva; Brinker, Titus J.</t>
  </si>
  <si>
    <t>Dermatologist-like explainable AI enhances trust and confidence in diagnosing melanoma</t>
  </si>
  <si>
    <t>WOS:001143918100017</t>
  </si>
  <si>
    <t>Mei, Qiaozhu; Xie, Yutong; Yuan, Walter; Jackson, Matthew O.</t>
  </si>
  <si>
    <t>A Turing test of whether AI chatbots are behaviorally similar to humans</t>
  </si>
  <si>
    <t>FEB 27</t>
  </si>
  <si>
    <t>WOS:001208569300007</t>
  </si>
  <si>
    <t>Lombardo, Riccardo; Gallo, Giacomo; Stira, Jordi; Turchi, Beatrice; Santoro, Giuseppe; Riolo, Sara; Romagnoli, Matteo; Cicione, Antonio; Tema, Giorgia; Pastore, Antonio; Al Salhi, Yazan; Fuschi, Andrea; Franco, Giorgio; Nacchia, Antonio; Tubaro, Andrea; De Nunzio, Cosimo</t>
  </si>
  <si>
    <t>Quality of information and appropriateness of Open AI outputs for prostate cancer</t>
  </si>
  <si>
    <t>PROSTATE CANCER AND PROSTATIC DISEASES</t>
  </si>
  <si>
    <t>2024 JAN 16</t>
  </si>
  <si>
    <t>WOS:001154867700001</t>
  </si>
  <si>
    <t>Mugge, Daniel</t>
  </si>
  <si>
    <t>Eu AI sovereignty: for whom, to what end, and to whose benefit?</t>
  </si>
  <si>
    <t>JOURNAL OF EUROPEAN PUBLIC POLICY</t>
  </si>
  <si>
    <t>AUG 2</t>
  </si>
  <si>
    <t>WOS:001171629700001</t>
  </si>
  <si>
    <t>Wei, Chih-Hsuan; Allot, Alexis; Lai, Po-Ting; Leaman, Robert; Tian, Shubo; Luo, Ling; Jin, Qiao; Wang, Zhizheng; Chen, Qingyu; Lu, Zhiyong</t>
  </si>
  <si>
    <t>PubTator 3.0: an AI-powered literature resource for unlocking biomedical knowledge</t>
  </si>
  <si>
    <t>NUCLEIC ACIDS RESEARCH</t>
  </si>
  <si>
    <t>APR 4</t>
  </si>
  <si>
    <t>W1</t>
  </si>
  <si>
    <t>W540</t>
  </si>
  <si>
    <t>W546</t>
  </si>
  <si>
    <t>WOS:001196419500001</t>
  </si>
  <si>
    <t>Lee, Seyoung; Park, Younjung; Park, Gain</t>
  </si>
  <si>
    <t>Using AI chatbots in climate change mitigation: a moderated serial mediation model</t>
  </si>
  <si>
    <t>BEHAVIOUR &amp; INFORMATION TECHNOLOGY</t>
  </si>
  <si>
    <t>DEC 9</t>
  </si>
  <si>
    <t>WOS:001137004400001</t>
  </si>
  <si>
    <t>Tai-Seale, Ming; Baxter, Sally L.; Vaida, Florin; Walker, Amanda; Sitapati, Amy M.; Osborne, Chad; Diaz, Joseph; Desai, Nimit; Webb, Sophie; Polston, Gregory; Helsten, Teresa; Gross, Erin; Thackaberry, Jessica; Mandvi, Ammar; Lillie, Dustin; Li, Steve; Gin, Geneen; Achar, Suraj; Hofflich, Heather; Sharp, Christopher; Millen, Marlene; Longhurst, Christopher A.</t>
  </si>
  <si>
    <t>AI-Generated Draft Replies Integrated Into Health Records and Physicians' Electronic Communication</t>
  </si>
  <si>
    <t>APR 15</t>
  </si>
  <si>
    <t>WOS:001205623800002</t>
  </si>
  <si>
    <t>Ferraro, Carla; Demsar, Vlad; Sands, Sean; Restrepo, Mariluz; Campbell, Colin</t>
  </si>
  <si>
    <t>The paradoxes of generative AI-enabled customer service: A guide for managers</t>
  </si>
  <si>
    <t>WOS:001301355300001</t>
  </si>
  <si>
    <t>Wen, Dingzhu; Liu, Peixi; Zhu, Guangxu; Shi, Yuanming; Xu, Jie; Eldar, Yonina C.; Cui, Shuguang</t>
  </si>
  <si>
    <t>Task-Oriented Sensing, Computation, and Communication Integration for Multi-Device Edge AI</t>
  </si>
  <si>
    <t>WOS:001196528600038</t>
  </si>
  <si>
    <t>Cui, Yuanyuan (Gina); van Esch, Patrick; Phelan, Steven</t>
  </si>
  <si>
    <t>How to build a competitive advantage for your brand using generative AI</t>
  </si>
  <si>
    <t>WOS:001301293900001</t>
  </si>
  <si>
    <t>Zhang, Yang; Liu, Caiqi; Liu, Mujiexin; Liu, Tianyuan; Lin, Hao; Huang, Cheng-Bing; Ning, Lin</t>
  </si>
  <si>
    <t>Attention is all you need: utilizing attention in AI-enabled drug discovery</t>
  </si>
  <si>
    <t>BRIEFINGS IN BIOINFORMATICS</t>
  </si>
  <si>
    <t>WOS:001173375300016</t>
  </si>
  <si>
    <t>Swanson, Kyle; Liu, Gary; Catacutan, Denise B.; Arnold, Autumn; Zou, James; Stokes, Jonathan M.</t>
  </si>
  <si>
    <t>Generative AI for designing and validating easily synthesizable and structurally novel antibiotics</t>
  </si>
  <si>
    <t>NATURE MACHINE INTELLIGENCE</t>
  </si>
  <si>
    <t>WOS:001189356600002</t>
  </si>
  <si>
    <t>Du, Hongyang; Zhang, Ruichen; Niyato, Dusit; Kang, Jiawen; Xiong, Zehui; Kim, Dong In; Shen, Xuemin; Poor, H. Vincent</t>
  </si>
  <si>
    <t>Exploring Collaborative Distributed Diffusion-Based AI-Generated Content (AIGC) in Wireless Networks</t>
  </si>
  <si>
    <t>WOS:001238538200031</t>
  </si>
  <si>
    <t>Gosak, Lucija; Pruinelli, Lisiane; Topaz, Maxim; Stiglic, Gregor</t>
  </si>
  <si>
    <t>The ChatGPT effect and transforming nursing education with generative AI: Discussion paper</t>
  </si>
  <si>
    <t>NURSE EDUCATION IN PRACTICE</t>
  </si>
  <si>
    <t>WOS:001162550900001</t>
  </si>
  <si>
    <t>Pellert, Max; Lechner, Clemens M.; Wagner, Claudia; Rammstedt, Beatrice; Strohmaier, Markus</t>
  </si>
  <si>
    <t>AI Psychometrics: Assessing the Psychological Profiles of Large Language Models Through Psychometric Inventories</t>
  </si>
  <si>
    <t>PERSPECTIVES ON PSYCHOLOGICAL SCIENCE</t>
  </si>
  <si>
    <t>WOS:001134704400001</t>
  </si>
  <si>
    <t>Yu, Qi; Zhang, Min; Mujumdar, Arun S.; Li, Jingyuan</t>
  </si>
  <si>
    <t>AI-based additive manufacturing for future food: Potential applications challenges and possible solutions</t>
  </si>
  <si>
    <t>INNOVATIVE FOOD SCIENCE &amp; EMERGING TECHNOLOGIES</t>
  </si>
  <si>
    <t>WOS:001184970200001</t>
  </si>
  <si>
    <t>Nair, Pranav; Vakharia, Vinay; Shah, Milind; Kumar, Yogesh; Wozniak, Marcin; Shafi, Jana; Fazal Ijaz, Muhammad</t>
  </si>
  <si>
    <t>AI-Driven Digital Twin Model for Reliable Lithium-Ion Battery Discharge Capacity Predictions</t>
  </si>
  <si>
    <t>INTERNATIONAL JOURNAL OF INTELLIGENT SYSTEMS</t>
  </si>
  <si>
    <t>JAN 29</t>
  </si>
  <si>
    <t>WOS:001159518000001</t>
  </si>
  <si>
    <t>Sundberg, Leif; Holmstrom, Jonny</t>
  </si>
  <si>
    <t>Innovating by prompting: How to facilitate innovation in the age of generative AI</t>
  </si>
  <si>
    <t>WOS:001301402100001</t>
  </si>
  <si>
    <t>Rong, Yao; Leemann, Tobias; Nguyen, Thai-Trang; Fiedler, Lisa; Qian, Peizhu; Unhelkar, Vaibhav; Seidel, Tina; Kasneci, Gjergji; Kasneci, Enkelejda</t>
  </si>
  <si>
    <t>Towards Human-Centered Explainable AI: A Survey of User Studies for Model Explanations</t>
  </si>
  <si>
    <t>IEEE TRANSACTIONS ON PATTERN ANALYSIS AND MACHINE INTELLIGENCE</t>
  </si>
  <si>
    <t>WOS:001180891600042</t>
  </si>
  <si>
    <t>Wallach, Izhar; Bernard, Denzil; Nguyen, Kong; Ho, Gregory; Morrison, Adrian; Stecula, Adrian; Rosnik, Andreana; O'Sullivan, Ann Marie; Davtyan, Aram; Samudio, Ben; Thomas, Bill; Worley, Brad; Butler, Brittany; Laggner, Christian; Thayer, Desiree; Moharreri, Ehsan; Friedland, Greg; Truong, Ha; van den Bedem, Henry; Ng, Ho Leung; Stafford, Kate; Sarangapani, Krishna; Giesler, Kyle; Ngo, Lien; Mysinger, Michael; Ahmed, Mostafa; Anthis, Nicholas J.; Henriksen, Niel; Gniewek, Pawel; Eckert, Sam; de Oliveira, Saulo; Suterwala, Shabbir; PrasadPrasad, Srimukh Veccham Krishna; Shek, Stefani; Contreras, Stephanie; Hare, Stephanie; Palazzo, Teresa; O'Brien, Terrence E.; Van Grack, Tessa; Williams, Tiffany; Chern, Ting-Rong; Kenyon, Victor; Lee, Andreia H.; Cann, Andrew B.; Bergman, Bastiaan; Anderson, Brandon M.; Cox, Bryan D.; Warrington, Jeffrey M.; Sorenson, Jon M.; Goldenberg, Joshua M.; Young, Matthew A.; DeHaan, Nicholas; Pemberton, Ryan P.; Schroedl, Stefan; Abramyan, Tigran M.; Gupta, Tushita; Mysore, Venkatesh; Presser, Adam G.; Ferrando, Adolfo A.; Andricopulo, Adriano D.; Ghosh, Agnidipta; Ayachi, Aicha Gharbi; Mushtaq, Aisha; Shaqra, Ala M.; Toh, Alan Kie Leong; Smrcka, Alan V.; Ciccia, Alberto; de Oliveira, Aldo Sena; Sverzhinsky, Aleksandr; de Sousa, Alessandra Mara; Agoulnik, Alexander I.; Kushnir, Alexander; Freiberg, Alexander N.; Statsyuk, Alexander V.; Gingras, Alexandre R.; Degterev, Alexei; Tomilov, Alexey; Vrielink, Alice; Garaeva, Alisa A.; Bryant-Friedrich, Amanda; Caflisch, Amedeo; Patel, Amit K.; Rangarajan, Amith Vikram; Matheeussen, An; Battistoni, Andrea; Caporali, Andrea; Chini, Andrea; Ilari, Andrea; Mattevi, Andrea; Foote, Andrea Talbot; Trabocchi, Andrea; Stahl, Andreas; Herr, Andrew B.; Berti, Andrew; Freywald, Andrew; Reidenbach, Andrew G.; Lam, Andrew; Cuddihy, Andrew R.; White, Andrew; Taglialatela, Angelo; Ojha, Anil K.; Cathcart, Ann M.; Motyl, Anna A. L.; Borowska, Anna; D'Antuono, Anna; Hirsch, Anna K. H.; Porcelli, Anna Maria; Minakova, Anna; Montanaro, Anna; Mueller, Anna; Fiorillo, Annarita; Virtanen, Anniina; O'Donoghue, Anthony J.; Flores, Antonio Del Rio; Garmendia, Antonio E.; Pineda-Lucena, Antonio; Panganiban, Antonito T.; Samantha, Ariela; Chatterjee, Arnab K.; Haas, Arthur L.; Paparella, Ashleigh S.; John, Ashley L. St; Prince, Ashutosh; ElSheikh, Assmaa; Apfel, Athena Marie; Colomba, Audrey; O'Dea, Austin; Diallo, Bakary N'tji; Ribeiro, Beatriz Murta Rezende Moraes; Bailey-Elkin, Ben A.; Edelman, Benjamin L.; Liou, Benjamin; Perry, Benjamin; Chua, Benjamin Soon Kai; Kovats, Benjamin; Englinger, Bernhard; Balakrishnan, Bijina; Gong, Bin; Agianian, Bogos; Pressly, Brandon; Salas, Brenda P. Medellin; Duggan, Brendan M.; Geisbrecht, Brian V.; Dymock, Brian W.; Morten, Brianna C.; Hammock, Bruce D.; Mota, Bruno Eduardo Fernandes; Dickinson, Bryan C.; Fraser, Cameron; Lempicki, Camille; Novina, Carl D.; Torner, Carles; Ballatore, Carlo; Bon, Carlotta; Chapman, Carly J.; Partch, Carrie L.; Chaton, Catherine T.; Huang, Chang; Yang, Chao-Yie; Kahler, Charlene M.; Karan, Charles; Keller, Charles; Dieck, Chelsea L.; Chen Huimei; Liu, Chen; Peltier, Cheryl; Mantri, Chinmay Kumar; Kemet, Chinyere Maat; Mueller, Christa E.; Weber, Christian; Zeina, Christina M.; Muli, Christine S.; Morisseau, Christophe; Alkan, Cigdem; Reglero, Clara; Loy, Cody A.; Wilson, Cornelia M.; Myhr, Courtney; Arrigoni, Cristina; Paulino, Cristina; Santiago, Cesar; Luo, Dahai; Tumes, Damon J.; Keedy, Daniel A.; Lawrence, Daniel A.; Chen, Daniel; Manor, Danny; Trader, Darci J.; Hildeman, David A.; Drewry, David H.; Dowling, David J.; Hosfield, David J.; Smith, David M.; Moreira, David; Siderovski, David P.; Shum, David; Krist, David T.; Riches, David W. H.; Ferraris, Davide Maria; Anderson, Deborah H.; Coombe, Deirdre R.; Welsbie, Derek S.; Hu, Di; Ortiz, Diana; Alramadhani, Dina; Zhang, Dingqiang; Chaudhuri, Dipayan; Slotboom, Dirk J.; Ronning, Donald R.; Lee, Donghan; Dirksen, Dorian; Shoue, Douglas A.; Zochodne, Douglas William; Krishnamurthy, Durga; Duncan, Dustin; Glubb, Dylan M.; Gelardi, Edoardo Luigi Maria; Hsiao, Edward C.; Lynn, Edward G.; Silva, Elany Barbosa; Aguilera, Elena; Lenci, Elena; Abraham, Elena Theres; Lama, Eleonora; Mameli, Eleonora; Leung, Elisa; Christensen, Emily M.; Mason, Emily R.; Petretto, Enrico; Trakhtenberg, Ephraim F.; Rubin, Eric J.; Strauss, Erick; Thompson, Erik W.; Cione, Erika; Lisabeth, Erika Mathes; Fan, Erkang; Kroon, Erna Geessien; Jo, Eunji; Garcia-Cuesta, Eva M.; Glukhov, Evgenia; Gavathiotis, Evripidis; Yu, Fang; Xiang, Fei; Leng, Fenfei; Wang, Feng; Ingoglia, Filippo; van den Akker, Focco; Borriello, Francesco; Vizeacoumar, Franco J.; Luh, Frank; Buckner, Frederick S.; Vizeacoumar, Frederick S.; Ben Bdira, Fredj; Svensson, Fredrik; Rodriguez, G. Marcela; Bognar, Gabriella; Lembo, Gaia; Zhang, Gang; Dempsey, Garrett; Eitzen, Gary; Mayer, Gaetan; Greene, Geoffrey L.; Garcia, George A.; Lukacs, Gergely L.; Prikler, Gergely; Parico, Gian Carlo G.; Colotti, Gianni; De Keulenaer, Gilles; Cortopassi, Gino; Roti, Giovanni; Girolimetti, Giulia; Fiermonte, Giuseppe; Gasparre, Giuseppe; Leuzzi, Giuseppe; Dahal, Gopal; Michlewski, Gracjan; Conn, Graeme L.; Stuchbury, Grant David; Bowman, Gregory R.; Popowicz, Grzegorz Maria; Veit, Guido; de Souza, Guilherme Eduardo; Akk, Gustav; Caljon, Guy; Alvarez, Guzman; Rucinski, Gwennan; Lee, Gyeongeun; Cildir, Gokhan; Li, Hai; Breton, Hairol E.; Jafar-Nejad, Hamed; Zhou, Han; Moore, Hannah P.; Tilford, Hannah; Yuan, Haynes; Shim, Heesung; Wulff, Heike; Hoppe, Heinrich; Chaytow, Helena; Tam, Heng-Keat; Van Remmen, Holly; Xu, Hongyang; Debonsi, Hosana Maria; Lieberman, Howard B.; Jung, Hoyoung; Fan, Hua-Ying; Feng, Hui; Zhou, Hui; Kim, Hyeong Jun; Greig, Iain R.; Caliandro, Ileana; Corvo, Ileana; Arozarena, Imanol; Mungrue, Imran N.; Verhamme, Ingrid M.; Qureshi, Insaf Ahmed; Lotsaris, Irina; Cakir, Isin; Perry, J. Jefferson P.; Kwiatkowski, Jacek; Boorman, Jacob; Ferreira, Jacob; Fries, Jacob; Kratz, Jadel Mueller; Miner, Jaden; Siqueira-Neto, Jair L.; Granneman, James G.; Ng, James; Shorter, James; Voss, Jan Hendrik; Gebauer, Jan M.; Chuah, Janelle; Mousa, Jarrod J.; Maynes, Jason T.; Evans, Jay D.; Dickhout, Jeffrey; MacKeigan, Jeffrey P.; Jossart, Jennifer N.; Zhou, Jia; Lin, Jiabei; Xu, Jiake; Wang, Jianghai; Zhu, Jiaqi; Liao, Jiayu; Xu, Jingyi; Zhao, Jinshi; Lin, Jiusheng; Lee, Jiyoun; Reis, Joana; Stetefeld, Joerg; Bruning, John B.; Bruning, John Burt; Coles, John G.; Tanner, John J.; Pascal, John M.; So, Jonathan; Pederick, Jordan L.; Costoya, Jose A.; Rayman, Joseph B.; Maciag, Joseph J.; Nasburg, Joshua Alexander; Gruber, Joshua J.; Finkelstein, Joshua M.; Watkins, Joshua; Rodriguez-Frade, Jose Miguel; Arias, Juan Antonio Sanchez; Lasarte, Juan Jose; Oyarzabal, Julen; Milosavljevic, Julian; Cools, Julie; Lescar, Julien; Bogomolovas, Julijus; Wang, Jun; Kee, Jung-Min; Kee, Jung-Min; Liao, Junzhuo; Sistla, Jyothi C.; Abrahao, Jonatas Santos; Sishtla, Kamakshi; Francisco, Karol R.; Hansen, Kasper B.; Molyneaux, Kathleen A.; Cunningham, Kathryn A.; Martin, Katie R.; Gadar, Kavita; Ojo, Kayode K.; Wong, Keith S.; Wentworth, Kelly L.; Lai, Kent; Lobb, Kevin A.; Hopkins, Kevin M.; Parang, Keykavous; Machaca, Khaled; Pham, Kien; Ghilarducci, Kim; Sugamori, Kim S.; McManus, Kirk James; Musta, Kirsikka; Faller, Kiterie M. E.; Nagamori, Kiyo; Mostert, Konrad J.; Korotkov, Konstantin V.; Liu, Koting; Smith, Kristiana S.; Sarosiek, Kristopher; Rohde, Kyle H.; Kim, Kyu Kwang; Lee, Kyung Hyeon; Pusztai, Lajos; Lehtio, Lari; Haupt, Larisa M.; Cowen, Leah E.; Byrne, Lee J.; Su, Leila; Wert-Lamas, Leon; Puchades-Carrasco, Leonor; Chen, Lifeng; Malkas, Linda H.; Zhuo, Ling; Hedstrom, Lizbeth; Hedstrom, Lizbeth; Walensky, Loren D.; Antonelli, Lorenzo; Iommarini, Luisa; Whitesell, Luke; Randall, Lia M.; Fathallah, M. Dahmani; Nagai, Maira Harume; Kilkenny, Mairi Louise; Ben-Johny, Manu; Lussier, Marc P.; Windisch, Marc P.; Lolicato, Marco; Lolli, Marco Lucio; Vleminckx, Margot; Caroleo, Maria Cristina; Macias, Maria J.; Valli, Marilia; Barghash, Marim M.; Mellado, Mario; Tye, Mark A.; Wilson, Mark A.; Hannink, Mark; Ashton, Mark R.; dela Cerna, Mark Vincent C.; Giorgis, Marta; Safo, Martin K.; St Maurice, Martin; McDowell, Mary Ann; Pasquali, Marzia; Mehedi, Masfique; Serafim, Mateus Sa Magalhaes; Soellner, Matthew B.; Alteen, Matthew G.; Champion, Matthew M.; Skorodinsky, Maxim; O'Mara, Megan L.; Bedi, Mel; Rizzi, Menico; Levin, Michael; Mowat, Michael; Jackson, Michael R.; Paige, Mikell; Al-Yozbaki, Minnatallah; Giardini, Miriam A.; Maksimainen, Mirko M.; De Luise, Monica; Hussain, Muhammad Saddam; Christodoulides, Myron; Stec, Natalia; Zelinskaya, Natalia; Van Pelt, Natascha; Merrill, Nathan M.; Singh, Nathanael; Kootstra, Neeltje A.; Singh, Neeraj; Gandhi, Neha S.; Chan, Nei-Li; Trinh, Nguyen Mai; Schneider, Nicholas O.; Matovic, Nick; Horstmann, Nicola; Longo, Nicola; Bharambe, Nikhil; Rouzbeh, Nirvan; Mahmoodi, Niusha; Gumede, Njabulo Joyfull; Anastasio, Noelle C.; Ben Khalaf, Noureddine; Rabal, Obdulia; Kandror, Olga; Escaffre, Olivier; Silvennoinen, Olli; Bishop, Ozlem Tastan; Iglesias, Pablo; Sobrado, Pablo; Chuong, Patrick; O'Connell, Patrick; Martin-Malpartida, Pau; Mellor, Paul; Fish, Paul V.; Moreira, Paulo Otavio Lourenco; Zhou, Pei; Liu, Pengda; Liu, Pengda; Wu, Pengpeng; Agogo-Mawuli, Percy; Jones, Peter L.; Ngoi, Peter; Toogood, Peter; Ip, Philbert; von Hundelshausen, Philipp; Lee, Pil H.; Rowswell-Turner, Rachael B.; Balana-Fouce, Rafael; Rocha, Rafael Eduardo Oliveira; Guido, Rafael V. C.; Ferreira, Rafaela Salgado; Agrawal, Rajendra K.; Harijan, Rajesh K.; Ramachandran, Rajesh; Verma, Rajkumar; Singh, Rakesh K.; Tiwari, Rakesh Kumar; Mazitschek, Ralph; Koppisetti, Rama K.; Dame, Remus T.; Douville, Renee N.; Austin, Richard C.; Taylor, Richard E.; Moore, Richard G.; Ebright, Richard H.; Angell, Richard M.; Yan, Riqiang; Kejriwal, Rishabh; Batey, Robert A.; Blelloch, Robert; Vandenberg, Robert J.; Hickey, Robert J.; Kelm, Robert J., Jr.; Lake, Robert J.; Bradley, Robert K.; Blumenthal, Robert M.; Solano, Roberto; Gierse, Robin Matthias; Viola, Ronald E.; McCarthy, Ronan R.; Reguera, Rosa Maria; Uribe, Ruben Vazquez; do Monte-Neto, Rubens Lima; Gorgoglione, Ruggiero; Cullinane, Ryan T.; Katyal, Sachin; Hossain, Sakib; Phadke, Sameer; Shelburne, Samuel A.; Geden, Sandra E.; Johannsen, Sandra; Wazir, Sarah; Legare, Scott; Landfear, Scott M.; Radhakrishnan, Senthil K.; Ammendola, Serena; Dzhumaev, Sergei; Seo, Seung-Yong; Li, Shan; Zhou, Shan; Chu, Shaoyou; Chauhan, Shefali; Maruta, Shinsaku; Ashkar, Shireen R.; Shyng, Show-Ling; Conticello, Silvestro G.; Buroni, Silvia; Garavaglia, Silvia; White, Simon J.; Zhu, Siran; Tsimbalyuk, Sofiya; Chadni, Somaia Haque; Byun, Soo Young; Park, Soonju; Xu, Sophia Q.; Banerjee, Sourav; Zahler, Stefan; Espinoza, Stefano; Gustincich, Stefano; Sainas, Stefano; Celano, Stephanie L.; Capuzzi, Stephen J.; Waggoner, Stephen N.; Poirier, Steve; Olson, Steven H.; Marx, Steven O.; Van Doren, Steven R.; Sarilla, Suryakala; Brady-Kalnay, Susann M.; Dallman, Sydney; Azeem, Syeda Maryam; Teramoto, Tadahisa; Mehlman, Tamar; Swart, Tarryn; Abaffy, Tatjana; Akopian, Tatos; Haikarainen, Teemu; Moreda, Teresa Lozano; Ikegami, Tetsuro; Teixeira, Thaiz Rodrigues; Jayasinghe, Thilina D.; Gillingwater, Thomas H.; Kampourakis, Thomas; Richardson, Timothy I.; Herdendorf, Timothy J.; Kotze, Timothy J.; O'Meara, Timothy R.; Corson, Timothy W.; Hermle, Tobias; Ogunwa, Tomisin Happy; Lan, Tong; Su, Tong; Banjo, Toshihiro; O'Mara, Tracy A.; Chou, Tristan; Chou, Tsui-Fen; Baumann, Ulrich; Desai, Umesh R.; Pai, Vaibhav P.; Thai, Van Chi; Tandon, Vasudha; Banerji, Versha; Robinson, Victoria L.; Gunasekharan, Vignesh; Namasivayam, Vigneshwaran; Segers, Vincent F. M.; Maranda, Vincent; Dolce, Vincenza; Maltarollo, Vinicius Goncalves; Scoffone, Viola Camilla; Woods, Virgil A.; Ronchi, Virginia Paola; Le, Vuong Van Hung; Clayton, W. Brent; Lowther, W. Todd; Houry, Walid A.; Li, Wei; Tang, Weiping; Zhang, Wenjun; Van Voorhis, Wesley C.; Donaldson, William A.; Hahn, William C.; Kerr, William G.; Gerwick, William H.; Bradshaw, William J.; Foong, Wuen Ee; Blanchet, Xavier; Wu, Xiaoyang; Lu, Xin; Qi, Xin; Xu, Xin; Yu, Xinfang; Qin, Xingping; Wang, Xingyou; Yuan, Xinrui; Zhang, Xu; Zhang, Yan Jessie; Hu, Yanmei; Aldhamen, Yasser Ali; Chen, Yicheng; Li, Yihe; Sun, Ying; Zhu, Yini; Gupta, Yogesh K.; Perez-Pertejo, Yolanda; Li, Yong; Tang, Young; He, Yuan; Tse-Dinh, Yuk-Ching; Sidorova, Yulia A.; Yen, Yun; Li, Yunlong; Frangos, Zachary J.; Chung, Zara; Su, Zhengchen; Wang, Zhenghe; Zhang, Zhiguo; Liu, Zhongle; Inde, Zintis; Artia, Zoraima; Heifets, Abraham</t>
  </si>
  <si>
    <t>AI is a viable alternative to high throughput screening: a 318-target study</t>
  </si>
  <si>
    <t>WOS:001253148000001</t>
  </si>
  <si>
    <t>Ali, Rohaid; Connolly, Ian D.; Tang, Oliver Y.; Mirza, Fatima N.; Johnston, Benjamin; Abdulrazeq, Hael F.; Galamaga, Paul F.; Libby, Tiffany J.; Sodha, Neel R.; Groff, Michael W.; Gokaslan, Ziya L.; Telfeian, Albert E.; Shin, John H.; Asaad, Wael F.; Zou, James; Doberstein, Curtis E.</t>
  </si>
  <si>
    <t>Bridging the literacy gap for surgical consents: an AI-human expert collaborative approach</t>
  </si>
  <si>
    <t>NPJ DIGITAL MEDICINE</t>
  </si>
  <si>
    <t>MAR 8</t>
  </si>
  <si>
    <t>WOS:001181427900001</t>
  </si>
  <si>
    <t>Chen, Yan; Esmaeilzadeh, Pouyan</t>
  </si>
  <si>
    <t>Generative AI in Medical Practice: In-Depth Exploration of Privacy and Security Challenges</t>
  </si>
  <si>
    <t>JOURNAL OF MEDICAL INTERNET RESEARCH</t>
  </si>
  <si>
    <t>WOS:001186136400004</t>
  </si>
  <si>
    <t>Flavian, Carlos; Belk, Russell W.; Belanche, Daniel; Casalo, Luis, V</t>
  </si>
  <si>
    <t>Automated social presence in AI: Avoiding consumer psychological tensions to improve service value</t>
  </si>
  <si>
    <t>WOS:001174796100001</t>
  </si>
  <si>
    <t>Wang, Zongrun; Zhang, Taiyu; Ren, Xiaohang; Shi, Yukun</t>
  </si>
  <si>
    <t>AI adoption rate and corporate green innovation efficiency: Evidence from Chinese energy companies</t>
  </si>
  <si>
    <t>WOS:001218376200001</t>
  </si>
  <si>
    <t>Gilbert, Stephen</t>
  </si>
  <si>
    <t>The EU passes the AI Act and its implications for digital medicine are unclear</t>
  </si>
  <si>
    <t>MAY 22</t>
  </si>
  <si>
    <t>WOS:001229350400001</t>
  </si>
  <si>
    <t>Essien, Aniekan; Bukoye, Oyegoke Teslim; O'Dea, Christine; Kremantzis, Marios</t>
  </si>
  <si>
    <t>The influence of AI text generators on critical thinking skills in UK business schools</t>
  </si>
  <si>
    <t>WOS:001163886400001</t>
  </si>
  <si>
    <t>Wang, Yongliang; Xue, Lina</t>
  </si>
  <si>
    <t>Using AI-driven chatbots to foster Chinese EFL students' academic engagement: An intervention study</t>
  </si>
  <si>
    <t>COMPUTERS IN HUMAN BEHAVIOR</t>
  </si>
  <si>
    <t>WOS:001259530000001</t>
  </si>
  <si>
    <t>Wu, Xueqing; Li, Rui</t>
  </si>
  <si>
    <t>Unraveling Effects of AI Chatbots on EFL Learners' Language Skill Development: A Meta-analysis</t>
  </si>
  <si>
    <t>ASIA-PACIFIC EDUCATION RESEARCHER</t>
  </si>
  <si>
    <t>2024 MAY 2</t>
  </si>
  <si>
    <t>WOS:001233396900001</t>
  </si>
  <si>
    <t>Cui, Haotian; Wang, Chloe; Maan, Hassaan; Pang, Kuan; Luo, Fengning; Duan, Nan; Wang, Bo</t>
  </si>
  <si>
    <t>scGPT: toward building a foundation model for single-cell multi-omics using generative AI</t>
  </si>
  <si>
    <t>NATURE METHODS</t>
  </si>
  <si>
    <t>WOS:001175897200004</t>
  </si>
  <si>
    <t>Kazimierczak, Wojciech; Wajer, Roza; Wajer, Adrian; Kiian, Veronica; Kloska, Anna; Kazimierczak, Natalia; Janiszewska-Olszowska, Joanna; Serafin, Zbigniew</t>
  </si>
  <si>
    <t>Periapical Lesions in Panoramic Radiography and CBCT Imaging-Assessment of AI's Diagnostic Accuracy</t>
  </si>
  <si>
    <t>WOS:001220049000001</t>
  </si>
  <si>
    <t>Yang, Lei; Zhao, Shu</t>
  </si>
  <si>
    <t>AI-induced emotions in L2 education: Exploring EFL students' perceived emotions and regulation strategies</t>
  </si>
  <si>
    <t>WOS:001255596600001</t>
  </si>
  <si>
    <t>Ramaul, Laavanya; Ritala, Paavo; Ruokonen, Mika</t>
  </si>
  <si>
    <t>Creational and conversational AI affordances: How the new breed of chatbots is revolutionizing knowledge industries</t>
  </si>
  <si>
    <t>WOS:001301373100001</t>
  </si>
  <si>
    <t>Liu, Bojing; Li, Mengxiang; Ji, Zihui; Li, Hongming; Luo, Ji</t>
  </si>
  <si>
    <t>Intelligent Productivity Transformation: Corporate Market Demand Forecasting With the Aid of an AI Virtual Assistant</t>
  </si>
  <si>
    <t>JOURNAL OF ORGANIZATIONAL AND END USER COMPUTING</t>
  </si>
  <si>
    <t>WOS:001165615200007</t>
  </si>
  <si>
    <t>Miyazaki, Kunihiro; Murayama, Taichi; Uchiba, Takayuki; An, Jisun; Kwak, Haewoon</t>
  </si>
  <si>
    <t>Public perception of generative AI on Twitter: an empirical study based on occupation and usage</t>
  </si>
  <si>
    <t>EPJ DATA SCIENCE</t>
  </si>
  <si>
    <t>WOS:001137944700001</t>
  </si>
  <si>
    <t>Ou, Amy Wanyu; Stohr, Christian; Malmstrom, Hans</t>
  </si>
  <si>
    <t>Academic communication with AI-powered language tools in higher education: From a post-humanist perspective</t>
  </si>
  <si>
    <t>WOS:001164074100001</t>
  </si>
  <si>
    <t>Reddy, Sandeep</t>
  </si>
  <si>
    <t>Generative AI in healthcare: an implementation science informed translational path on application, integration and governance</t>
  </si>
  <si>
    <t>IMPLEMENTATION SCIENCE</t>
  </si>
  <si>
    <t>WOS:001185562300001</t>
  </si>
  <si>
    <t>Mehmood, Khalid; Kautish, Pradeep; Shah, Tejas R.</t>
  </si>
  <si>
    <t>Embracing digital companions: Unveiling customer engagement with anthropomorphic AI service robots in cross-cultural context</t>
  </si>
  <si>
    <t>WOS:001217679300001</t>
  </si>
  <si>
    <t>Polzer, Constanze; Yilmaz, Eren; Meyer, Carsten; Jang, Hyungseok; Jansen, Olav; Lorenz, Cristian; Buerger, Christian; Sedaghat, Sam</t>
  </si>
  <si>
    <t>AI-based automated detection and stability analysis of traumatic vertebral body fractures on computed tomography</t>
  </si>
  <si>
    <t>EUROPEAN JOURNAL OF RADIOLOGY</t>
  </si>
  <si>
    <t>WOS:001187722500001</t>
  </si>
  <si>
    <t>Elyoseph, Zohar; Refoua, Elad; Asraf, Kfir; Lvovsky, Maya; Shimoni, Yoav; Hadar-Shoval, Dorit</t>
  </si>
  <si>
    <t>Capacity of Generative AI to Interpret Human Emotions From Visual and Textual Data: Pilot Evaluation Study</t>
  </si>
  <si>
    <t>WOS:001176840500001</t>
  </si>
  <si>
    <t>Xu, Minrui; Du, Hongyang; Niyato, Dusit; Kang, Jiawen; Xiong, Zehui; Mao, Shiwen; Han, Zhu; Jamalipour, Abbas; Kim, Dong In; Shen, Xuemin; Leung, Victor C. M.; Poor, H. Vincent</t>
  </si>
  <si>
    <t>Unleashing the Power of Edge-Cloud Generative AI in Mobile Networks: A Survey of AIGC Services</t>
  </si>
  <si>
    <t>IEEE COMMUNICATIONS SURVEYS AND TUTORIALS</t>
  </si>
  <si>
    <t>APR-JUN</t>
  </si>
  <si>
    <t>WOS:001230185600001</t>
  </si>
  <si>
    <t>Karatas, Fatih; Abedi, Faramarz Yasar; Ozek Gunyel, Filiz; Karadeniz, Derya; Kuzgun, Yasemin</t>
  </si>
  <si>
    <t>Incorporating AI in foreign language education: An investigation into ChatGPT's effect on foreign language learners</t>
  </si>
  <si>
    <t>WOS:001186849500004</t>
  </si>
  <si>
    <t>Huang, Yingying; Gursoy, Dogan</t>
  </si>
  <si>
    <t>How does AI technology integration affect employees' proactive service behaviors? A transactional theory of stress perspective</t>
  </si>
  <si>
    <t>WOS:001154310100001</t>
  </si>
  <si>
    <t>Hossain, Shahriar; Chakrabarty, Amitabha; Gadekallu, Thippa Reddy; Alazab, Mamoun; Piran, Md. Jalil</t>
  </si>
  <si>
    <t>Vision Transformers, Ensemble Model, and Transfer Learning Leveraging Explainable AI for Brain Tumor Detection and Classification</t>
  </si>
  <si>
    <t>IEEE JOURNAL OF BIOMEDICAL AND HEALTH INFORMATICS</t>
  </si>
  <si>
    <t>WOS:001180907300002</t>
  </si>
  <si>
    <t>Wang, Nan; Zhang, Hongyan; Dahal, Ashok; Cheng, Weiming; Zhao, Min; Lombardo, Luigi</t>
  </si>
  <si>
    <t>On the use of explainable AI for susceptibility modeling: Examining the spatial pattern of SHAP values</t>
  </si>
  <si>
    <t>GEOSCIENCE FRONTIERS</t>
  </si>
  <si>
    <t>WOS:001182591200001</t>
  </si>
  <si>
    <t>Ashraf, Umar; Shi, Wanzhong; Zhang, Hucai; Anees, Aqsa; Jiang, Ren; Ali, Muhammad; Mangi, Hassan Nasir; Zhang, Xiaonan</t>
  </si>
  <si>
    <t>Reservoir rock typing assessment in a coal-tight sand based heterogeneous geological formation through advanced AI methods</t>
  </si>
  <si>
    <t>MAR 7</t>
  </si>
  <si>
    <t>WOS:001185083700107</t>
  </si>
  <si>
    <t>Berman, Alexander; Licht, Karl de Fine; Carlsson, Vanja</t>
  </si>
  <si>
    <t>Trustworthy AI in the public sector: An empirical analysis of a Swedish labor market decision-support system</t>
  </si>
  <si>
    <t>WOS:001176565600001</t>
  </si>
  <si>
    <t>Saberikamarposhti, Morteza; Kamyab, Hesam; Krishnan, Santhana; Yusuf, Mohammad; Rezania, Shahabaldin; Chelliapan, Shreeshivadasan; Khorami, Masoud</t>
  </si>
  <si>
    <t>A comprehensive review of AI-enhanced smart grid integration for hydrogen energy: Advances, challenges, and future prospects</t>
  </si>
  <si>
    <t>INTERNATIONAL JOURNAL OF HYDROGEN ENERGY</t>
  </si>
  <si>
    <t>WOS:001239810800001</t>
  </si>
  <si>
    <t>Ivanov, Stanislav; Soliman, Mohammad; Tuomi, Aarni; Alkathiri, Nasser Alhamar; Al-Alawi, Alamir N.</t>
  </si>
  <si>
    <t>Drivers of generative AI adoption in higher education through the lens of the Theory of Planned Behaviour</t>
  </si>
  <si>
    <t>WOS:001226239900001</t>
  </si>
  <si>
    <t>Jaboob, Mohammed; Hazaimeh, Manar; Al-Ansi, Abdullah M.</t>
  </si>
  <si>
    <t>Integration of Generative AI Techniques and Applications in Student Behavior and Cognitive Achievement in Arab Higher Education</t>
  </si>
  <si>
    <t>WOS:001138459400001</t>
  </si>
  <si>
    <t>Abbas, Muhammad; Jam, Farooq Ahmed; Khan, Tariq Iqbal</t>
  </si>
  <si>
    <t>Is it harmful or helpful? Examining the causes and consequences of generative AI usage among university students</t>
  </si>
  <si>
    <t>WOS:001162451300001</t>
  </si>
  <si>
    <t>Huang, Arthur; Ozturk, Ahmet Bulent; Zhang, Tingting; Velasco, Efren de la Mora; Haney, Adam</t>
  </si>
  <si>
    <t>Unpacking AI for hospitality and tourism services: Exploring the role of perceived enjoyment on future use intentions</t>
  </si>
  <si>
    <t>INTERNATIONAL JOURNAL OF HOSPITALITY MANAGEMENT</t>
  </si>
  <si>
    <t>WOS:001183995900001</t>
  </si>
  <si>
    <t>Kim, Arum; Su, Yuzhu</t>
  </si>
  <si>
    <t>How implementing an AI chatbot impacts Korean as a foreign language learners' willingness to communicate in Korean</t>
  </si>
  <si>
    <t>WOS:001192350500001</t>
  </si>
  <si>
    <t>Walia, Guneet Kaur; Kumar, Mohit; Gill, Sukhpal Singh</t>
  </si>
  <si>
    <t>AI-Empowered Fog/Edge Resource Management for IoT Applications: A Comprehensive Review, Research Challenges, and Future Perspectives</t>
  </si>
  <si>
    <t>WOS:001178133400013</t>
  </si>
  <si>
    <t>Nurmohamed, Nick S.; Bom, Michiel J.; Jukema, Ruurt A.; de Groot, Robin J.; Driessen, Roel S.; van Diemen, Pepijn A.; de Winter, Ruben W.; Gaillard, Emilie L.; Sprengers, Ralf W.; Stroes, Erik S. G.; Min, James K.; Earls, James P.; Cardoso, Rhanderson; Blankstein, Ron; Danad, Ibrahim; Choi, Andrew D.; Knaapen, Paul</t>
  </si>
  <si>
    <t>AI-Guided Quantitative Plaque Staging Predicts Long-Term Cardiovascular Outcomes in Patients at Risk for Atherosclerotic CVD</t>
  </si>
  <si>
    <t>JACC-CARDIOVASCULAR IMAGING</t>
  </si>
  <si>
    <t>WOS:001208655300001</t>
  </si>
  <si>
    <t>Erskine, Toni</t>
  </si>
  <si>
    <t>AI and the future of IR: Disentangling flesh-and-blood, institutional, and synthetic moral agency in world politics</t>
  </si>
  <si>
    <t>REVIEW OF INTERNATIONAL STUDIES</t>
  </si>
  <si>
    <t>WOS:001214557200004</t>
  </si>
  <si>
    <t>Lambert, Benjamin; Forbes, Florence; Doyle, Senan; Dehaene, Harmonie; Dojat, Michel</t>
  </si>
  <si>
    <t>Trustworthy clinical AI solutions: A unified review of uncertainty quantification in Deep Learning models for medical image analysis</t>
  </si>
  <si>
    <t>WOS:001216393700001</t>
  </si>
  <si>
    <t>Gao, Ziyi; Cheah, Jun-Hwa; Lim, Xin-Jean; Luo, Xi</t>
  </si>
  <si>
    <t>Enhancing academic performance of business students using generative AI: An interactive-constructive-active-passive (ICAP) self-determination perspective</t>
  </si>
  <si>
    <t>INTERNATIONAL JOURNAL OF MANAGEMENT EDUCATION</t>
  </si>
  <si>
    <t>WOS:001192494600001</t>
  </si>
  <si>
    <t>Collins, Gary S.; Moons, Karel G. M.; Dhiman, Paula; Riley, Richard; Beam, Andrew L.; Van Calster, Ben; Ghassemi, Marzyeh; Liu, Xiaoxuan; Reitsma, Johannes B.; van Smeden, Maarten; Boulesteix, Anne-Laure; Camaradou, Jennifer Catherine; Celi, Leo Anthony; Denaxas, Spiros; Denniston, Alastair K.; Glocker, Ben; Golub, Robert M.; Harvey, Hugh; Heinze, Georg; Hoffman, Michael M.; Kengne, Andre Pascal; Lam, Emily; Lee, Naomi; Loder, Elizabeth W.; Maier-Hein, Lena; Mateen, Bilal A.; McCradden, Melissa; Oakden-Rayner, Lauren; Ordish, Johan; Parnell, Richard; Rose, Sherri; Singh, Karandeep; Wynants, Laure; Logullo, Patricia</t>
  </si>
  <si>
    <t>TRIPOD plus AI statement: updated guidance for reporting clinical prediction models that use regression or machine learning methods</t>
  </si>
  <si>
    <t>APR 16</t>
  </si>
  <si>
    <t>WOS:001230177700003</t>
  </si>
  <si>
    <t>Ugar, Edmund Terem; Malele, Ntsumi</t>
  </si>
  <si>
    <t>Designing AI for mental health diagnosis: challenges from sub-Saharan African value-laden judgements on mental health disorders</t>
  </si>
  <si>
    <t>WOS:001169521800001</t>
  </si>
  <si>
    <t>Pan, Yinghao; Zhang, Chao -Chao; Lee, Chien -Chiang; Lv, Suxiang</t>
  </si>
  <si>
    <t>Environmental performance evaluation of electric enterprises during a power crisis: Evidence from DEA methods and AI prediction algorithms</t>
  </si>
  <si>
    <t>WOS:001165829300001</t>
  </si>
  <si>
    <t>Deepa, R.; Sekar, Srinivasan; Malik, Ashish; Kumar, Jitender; Attri, Rekha</t>
  </si>
  <si>
    <t>Impact of AI-focussed technologies on social and technical competencies for HR managers - A systematic review and research agenda</t>
  </si>
  <si>
    <t>WOS:001210921700001</t>
  </si>
  <si>
    <t>Khanal, Shaleen; Zhang, Hongzhou; Taeihagh, Araz</t>
  </si>
  <si>
    <t>Why and how is the power of Big Tech increasing in the policy process? The case of generative AI</t>
  </si>
  <si>
    <t>POLICY AND SOCIETY</t>
  </si>
  <si>
    <t>2024 MAR 27</t>
  </si>
  <si>
    <t>WOS:001191378400001</t>
  </si>
  <si>
    <t>Elyoseph, Zohar; Levkovich, Inbar</t>
  </si>
  <si>
    <t>Comparing the Perspectives of Generative AI, Mental Health Experts, and the General Public on Schizophrenia Recovery: Case Vignette Study</t>
  </si>
  <si>
    <t>WOS:001198221200001</t>
  </si>
  <si>
    <t>Yusuf, Abdullahi; Pervin, Nasrin; Roman-Gonzalez, Marcos</t>
  </si>
  <si>
    <t>Generative AI and the future of higher education: a threat to academic integrity or reformation? Evidence from multicultural perspectives</t>
  </si>
  <si>
    <t>WOS:001189674300001</t>
  </si>
  <si>
    <t>Dahri, Nisar Ahmed; Yahaya, Noraffandy; Al-Rahmi, Waleed Mugahed; Vighio, Muhammad Saleem; Alblehai, Fahad; Soomro, Rahim Bux; Shutaleva, Anna</t>
  </si>
  <si>
    <t>Investigating AI-based academic support acceptance and its impact on students' performance in Malaysian and Pakistani higher education institutions</t>
  </si>
  <si>
    <t>WOS:001183148300003</t>
  </si>
  <si>
    <t>Saban, Mor; Dubovi, Ilana</t>
  </si>
  <si>
    <t>A comparative vignette study: Evaluating the potential role of a generative AI model in enhancing clinical decision-making in nursing</t>
  </si>
  <si>
    <t>JOURNAL OF ADVANCED NURSING</t>
  </si>
  <si>
    <t>2024 FEB 17</t>
  </si>
  <si>
    <t>WOS:001163673100001</t>
  </si>
  <si>
    <t>Mahmood, Khalid; Tariq, Tayyaba; Sangaiah, Arun Kumar; Ghaffar, Zahid; Saleem, Muhammad Asad; Shamshad, Salman</t>
  </si>
  <si>
    <t>A Neural Computing-Based Access Control Protocol for AI-Driven Intelligent Flying Vehicles in Industry 5.0-Assisted Consumer Electronics</t>
  </si>
  <si>
    <t>IEEE TRANSACTIONS ON CONSUMER ELECTRONICS</t>
  </si>
  <si>
    <t>WOS:001244900800434</t>
  </si>
  <si>
    <t>Arpaci, Ibrahim</t>
  </si>
  <si>
    <t>A Multianalytical SEM-ANN Approach to Investigate the Social Sustainability of AI Chatbots Based on Cybersecurity and Protection Motivation Theory</t>
  </si>
  <si>
    <t>IEEE TRANSACTIONS ON ENGINEERING MANAGEMENT</t>
  </si>
  <si>
    <t>WOS:001134252100004</t>
  </si>
  <si>
    <t>Dahri, Nisar Ahmed; Yahaya, Noraffandy; Al-Rahmi, Waleed Mugahed; Aldraiweesh, Ahmed; Alturki, Uthman; Almutairy, Sultan; Shutaleva, Anna; Soomro, Rahim Bux</t>
  </si>
  <si>
    <t>Extended TAM based acceptance of AI-Powered ChatGPT for supporting metacognitive self-regulated learning in education: A mixed-methods study</t>
  </si>
  <si>
    <t>WOS:001226756000001</t>
  </si>
  <si>
    <t>Tian, Weiqi; Ge, Jingshen; Zhao, Yu; Zheng, Xu</t>
  </si>
  <si>
    <t>AI Chatbots in Chinese higher education: adoption, perception, and influence among graduate students-an integrated analysis utilizing UTAUT and ECM models</t>
  </si>
  <si>
    <t>FRONTIERS IN PSYCHOLOGY</t>
  </si>
  <si>
    <t>FEB 7</t>
  </si>
  <si>
    <t>WOS:001164878000001</t>
  </si>
  <si>
    <t>Brady, Adrian P.; Allen, Bibb; Chong, Jaron; Kotter, Elmar; Kottler, Nina; Mongan, John; Oakden-Rayner, Lauren; dos Santos, Daniel Pinto; Tang, An; Wald, Christoph; Slavotinek, John</t>
  </si>
  <si>
    <t>Developing, purchasing, implementing and monitoring AI tools in radiology: practical considerations. A multi-society statement from the ACR, CAR, ESR, RANZCR &amp; RSNA</t>
  </si>
  <si>
    <t>INSIGHTS INTO IMAGING</t>
  </si>
  <si>
    <t>JAN 22</t>
  </si>
  <si>
    <t>WOS:001145706700001</t>
  </si>
  <si>
    <t>Shahzad, Muhammad Farrukh; Xu, Shuo; Zahid, Hira</t>
  </si>
  <si>
    <t>Exploring the impact of generative AI-based technologies on learning performance through self-efficacy, fairness &amp; ethics, creativity, and trust in higher education</t>
  </si>
  <si>
    <t>2024 AUG 24</t>
  </si>
  <si>
    <t>WOS:001297592200001</t>
  </si>
  <si>
    <t>Firima, Emmanuel; Gonzalez, Lucia; Manthabiseng, Molulela; Bane, Matumaole; Lukau, Blaise; Leigh, Bailah; Kaufmann, Beat A.; Weisser, Maja; Amstutz, Alain; Tromp, Jasper; Labhardt, Niklaus Daniel; Burkard, Thilo</t>
  </si>
  <si>
    <t>Implementing focused echocardiography and AI-supported analysis in a population-based survey in Lesotho: implications for community-based cardiovascular disease care models</t>
  </si>
  <si>
    <t>HYPERTENSION RESEARCH</t>
  </si>
  <si>
    <t>WOS:001156832600002</t>
  </si>
  <si>
    <t>Li, Weiyi</t>
  </si>
  <si>
    <t>A Study on Factors Influencing Designers' Behavioral Intention in Using AI-Generated Content for Assisted Design: Perceived Anxiety, Perceived Risk, and UTAUT</t>
  </si>
  <si>
    <t>JAN 17</t>
  </si>
  <si>
    <t>WOS:001179882400001</t>
  </si>
  <si>
    <t>Shahzad, Muhammad Farrukh; Xu, Shuo; An, Xin; Javed, Iqra</t>
  </si>
  <si>
    <t>Assessing the impact of AI-chatbot service quality on user e-brand loyalty through chatbot user trust, experience and electronic word of mouth</t>
  </si>
  <si>
    <t>WOS:001298378600001</t>
  </si>
  <si>
    <t>Huang, Fangwei; Wang, Yongliang; Zhang, Haijing</t>
  </si>
  <si>
    <t>Modelling Generative AI Acceptance, Perceived Teachers' Enthusiasm and Self-Efficacy to English as a Foreign Language Learners' Well-Being in the Digital Era</t>
  </si>
  <si>
    <t>EUROPEAN JOURNAL OF EDUCATION</t>
  </si>
  <si>
    <t>WOS:001322268100001</t>
  </si>
  <si>
    <t>Pang, Hua; Ruan, Yang; Zhang, Kaige</t>
  </si>
  <si>
    <t>Deciphering technological contributions of visibility and interactivity to website atmospheric and customer stickiness in AI-driven websites: The pivotal function of online flow state</t>
  </si>
  <si>
    <t>WOS:001202669100001</t>
  </si>
  <si>
    <t>Kim, Byung-Jik; Kim, Min-Jik</t>
  </si>
  <si>
    <t>The influence of work overload on cybersecurity behavior: A moderated mediation model of psychological contract breach, burnout, and self-efficacy in AI learning such as ChatGPT</t>
  </si>
  <si>
    <t>WOS:001224121700001</t>
  </si>
  <si>
    <t>Wu, Hanwei; Wang, Yunsong; Wang, Yongliang</t>
  </si>
  <si>
    <t>To Use or Not to Use? A Mixed-Methods Study on the Determinants of EFL College Learners' Behavioral Intention to Use AI in the Distributed Learning Context</t>
  </si>
  <si>
    <t>INTERNATIONAL REVIEW OF RESEARCH IN OPEN AND DISTRIBUTED LEARNING</t>
  </si>
  <si>
    <t>WOS:001315233600010</t>
  </si>
  <si>
    <t>Strzelecki, Artur; ElArabawy, Sara</t>
  </si>
  <si>
    <t>Investigation of the moderation effect of gender and study level on the acceptance and use of generative AI by higher education students: Comparative evidence from Poland and Egypt</t>
  </si>
  <si>
    <t>BRITISH JOURNAL OF EDUCATIONAL TECHNOLOGY</t>
  </si>
  <si>
    <t>WOS:001136714900001</t>
  </si>
  <si>
    <t>Eid, Kevin; Eid, Alen; Wang, Diane; Raiker, Rahul S.; Chen, Stephen; Nguyen, John</t>
  </si>
  <si>
    <t>Optimizing Ophthalmology Patient Education via ChatBot-Generated Materials: Readability Analysis of AI-Generated Patient Education Materials and The American Society of Ophthalmic Plastic and Reconstructive Surgery Patient Brochures</t>
  </si>
  <si>
    <t>OPHTHALMIC PLASTIC AND RECONSTRUCTIVE SURGERY</t>
  </si>
  <si>
    <t>WOS:001179728900002</t>
  </si>
  <si>
    <t>Golubnitschaja, Olga; Polivka Jr, Jiri; Potuznik, Pavel; Pesta, Martin; Stetkarova, Ivana; Mazurakova, Alena; Lackova, Lenka; Kubatka, Peter; Kropp, Martina; Thumann, Gabriele; Erb, Carl; Froehlich, Holger; Wang, Wei; Baban, Babak; Kapalla, Marko; Shapira, Niva; Richter, Kneginja; Karabatsiakis, Alexander; Smokovski, Ivica; Schmeel, Leonard Christopher; Gkika, Eleni; Paul, Friedemann; Parini, Paolo; Polivka, Jiri</t>
  </si>
  <si>
    <t>The paradigm change from reactive medical services to 3PM in ischemic stroke: a holistic approach utilising tear fluid multi-omics, mitochondria as a vital biosensor and AI-based multi-professional data interpretation</t>
  </si>
  <si>
    <t>EPMA JOURNAL</t>
  </si>
  <si>
    <t>2024 FEB 27</t>
  </si>
  <si>
    <t>WOS:001181836200001</t>
  </si>
  <si>
    <t>When and How Artificial Intelligence Augments Employee Creativity</t>
  </si>
  <si>
    <t>Competitive Advantage Through Artificial Intelligence: Toward a Theory of Situated AI</t>
  </si>
  <si>
    <t>https://drive.google.com/file/d/1l2U7dIsgt-PcaterOiTIne6U2eoF-5o2/view</t>
  </si>
  <si>
    <t>https://www.jmir.org/2024/1/e53008/</t>
  </si>
  <si>
    <t>https://www.irrodl.org/index.php/irrodl/article/view/7708</t>
  </si>
  <si>
    <t>Journal Title</t>
  </si>
  <si>
    <t>Year</t>
  </si>
  <si>
    <t>Vol</t>
  </si>
  <si>
    <t>Start Pg</t>
  </si>
  <si>
    <t>End Pg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</si>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</sst>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rrodl.org/index.php/irrodl/article/view/7708" TargetMode="External"/><Relationship Id="rId1" Type="http://schemas.openxmlformats.org/officeDocument/2006/relationships/hyperlink" Target="https://www.jmir.org/2024/1/e5300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576F-7F34-4A8D-8E8C-2B92B2CFA025}">
  <dimension ref="A1:L228"/>
  <sheetViews>
    <sheetView tabSelected="1" workbookViewId="0">
      <pane ySplit="1" topLeftCell="A2" activePane="bottomLeft" state="frozen"/>
      <selection pane="bottomLeft"/>
    </sheetView>
  </sheetViews>
  <sheetFormatPr defaultColWidth="39.15234375" defaultRowHeight="12.45" x14ac:dyDescent="0.3"/>
  <cols>
    <col min="1" max="3" width="32.07421875" customWidth="1"/>
    <col min="4" max="4" width="8.23046875" customWidth="1"/>
    <col min="5" max="5" width="5.921875" customWidth="1"/>
    <col min="6" max="6" width="5.23046875" style="5" customWidth="1"/>
    <col min="7" max="7" width="6" style="5" customWidth="1"/>
    <col min="8" max="8" width="8.15234375" style="5" customWidth="1"/>
    <col min="9" max="9" width="8.07421875" style="5" customWidth="1"/>
    <col min="10" max="10" width="18.61328125" customWidth="1"/>
    <col min="11" max="11" width="11.53515625" customWidth="1"/>
    <col min="12" max="12" width="20.84375" customWidth="1"/>
  </cols>
  <sheetData>
    <row r="1" spans="1:12" s="3" customFormat="1" ht="30" customHeight="1" x14ac:dyDescent="0.3">
      <c r="A1" s="3" t="s">
        <v>0</v>
      </c>
      <c r="B1" s="3" t="s">
        <v>1</v>
      </c>
      <c r="C1" s="3" t="s">
        <v>930</v>
      </c>
      <c r="D1" s="3" t="s">
        <v>935</v>
      </c>
      <c r="E1" s="3" t="s">
        <v>931</v>
      </c>
      <c r="F1" s="4" t="s">
        <v>932</v>
      </c>
      <c r="G1" s="4" t="s">
        <v>2</v>
      </c>
      <c r="H1" s="4" t="s">
        <v>933</v>
      </c>
      <c r="I1" s="4" t="s">
        <v>934</v>
      </c>
      <c r="J1" s="3" t="s">
        <v>3</v>
      </c>
      <c r="K1" s="3" t="s">
        <v>5</v>
      </c>
      <c r="L1" s="3" t="s">
        <v>4</v>
      </c>
    </row>
    <row r="2" spans="1:12" x14ac:dyDescent="0.3">
      <c r="A2" t="s">
        <v>7</v>
      </c>
      <c r="B2" t="s">
        <v>8</v>
      </c>
      <c r="C2" t="s">
        <v>9</v>
      </c>
      <c r="D2" t="s">
        <v>10</v>
      </c>
      <c r="E2">
        <v>2024</v>
      </c>
      <c r="F2" s="5">
        <v>180</v>
      </c>
      <c r="G2" s="5" t="s">
        <v>6</v>
      </c>
      <c r="H2" s="5" t="s">
        <v>6</v>
      </c>
      <c r="I2" s="5" t="s">
        <v>6</v>
      </c>
      <c r="J2" t="str">
        <f>HYPERLINK("http://dx.doi.org/10.1016/j.jbusres.2024.114720","http://dx.doi.org/10.1016/j.jbusres.2024.114720")</f>
        <v>http://dx.doi.org/10.1016/j.jbusres.2024.114720</v>
      </c>
      <c r="K2" t="s">
        <v>12</v>
      </c>
      <c r="L2" t="s">
        <v>11</v>
      </c>
    </row>
    <row r="3" spans="1:12" x14ac:dyDescent="0.3">
      <c r="A3" t="s">
        <v>13</v>
      </c>
      <c r="B3" s="1" t="s">
        <v>926</v>
      </c>
      <c r="C3" t="s">
        <v>14</v>
      </c>
      <c r="D3" t="s">
        <v>10</v>
      </c>
      <c r="E3">
        <v>2024</v>
      </c>
      <c r="F3" s="5">
        <v>49</v>
      </c>
      <c r="G3" s="5">
        <v>3</v>
      </c>
      <c r="H3" s="5">
        <v>618</v>
      </c>
      <c r="I3" s="5">
        <v>635</v>
      </c>
      <c r="J3" t="str">
        <f>HYPERLINK("http://dx.doi.org/10.5465/amr.2020.0205","http://dx.doi.org/10.5465/amr.2020.0205")</f>
        <v>http://dx.doi.org/10.5465/amr.2020.0205</v>
      </c>
      <c r="K3" t="s">
        <v>15</v>
      </c>
      <c r="L3" t="s">
        <v>11</v>
      </c>
    </row>
    <row r="4" spans="1:12" x14ac:dyDescent="0.3">
      <c r="A4" t="s">
        <v>16</v>
      </c>
      <c r="B4" t="s">
        <v>17</v>
      </c>
      <c r="C4" t="s">
        <v>18</v>
      </c>
      <c r="D4" t="s">
        <v>19</v>
      </c>
      <c r="E4">
        <v>2024</v>
      </c>
      <c r="F4" s="5">
        <v>11</v>
      </c>
      <c r="G4" s="5">
        <v>1</v>
      </c>
      <c r="H4" s="5" t="s">
        <v>6</v>
      </c>
      <c r="I4" s="5" t="s">
        <v>6</v>
      </c>
      <c r="J4" t="str">
        <f>HYPERLINK("http://dx.doi.org/10.1177/20539517241232630","http://dx.doi.org/10.1177/20539517241232630")</f>
        <v>http://dx.doi.org/10.1177/20539517241232630</v>
      </c>
      <c r="K4" t="s">
        <v>20</v>
      </c>
      <c r="L4" t="s">
        <v>11</v>
      </c>
    </row>
    <row r="5" spans="1:12" x14ac:dyDescent="0.3">
      <c r="A5" t="s">
        <v>21</v>
      </c>
      <c r="B5" t="s">
        <v>22</v>
      </c>
      <c r="C5" t="s">
        <v>23</v>
      </c>
      <c r="D5" t="s">
        <v>24</v>
      </c>
      <c r="E5">
        <v>2024</v>
      </c>
      <c r="F5" s="5">
        <v>11</v>
      </c>
      <c r="G5" s="5">
        <v>1</v>
      </c>
      <c r="H5" s="5" t="s">
        <v>6</v>
      </c>
      <c r="I5" s="5" t="s">
        <v>6</v>
      </c>
      <c r="J5" t="str">
        <f>HYPERLINK("http://dx.doi.org/10.1057/s41599-024-03520-5","http://dx.doi.org/10.1057/s41599-024-03520-5")</f>
        <v>http://dx.doi.org/10.1057/s41599-024-03520-5</v>
      </c>
      <c r="K5" t="s">
        <v>26</v>
      </c>
      <c r="L5" t="s">
        <v>25</v>
      </c>
    </row>
    <row r="6" spans="1:12" x14ac:dyDescent="0.3">
      <c r="A6" t="s">
        <v>27</v>
      </c>
      <c r="B6" t="s">
        <v>28</v>
      </c>
      <c r="C6" t="s">
        <v>29</v>
      </c>
      <c r="D6" t="s">
        <v>30</v>
      </c>
      <c r="E6">
        <v>2024</v>
      </c>
      <c r="F6" s="5">
        <v>104</v>
      </c>
      <c r="G6" s="5" t="s">
        <v>6</v>
      </c>
      <c r="H6" s="5" t="s">
        <v>6</v>
      </c>
      <c r="I6" s="5" t="s">
        <v>6</v>
      </c>
      <c r="J6" t="str">
        <f>HYPERLINK("http://dx.doi.org/10.1016/j.tourman.2024.104935","http://dx.doi.org/10.1016/j.tourman.2024.104935")</f>
        <v>http://dx.doi.org/10.1016/j.tourman.2024.104935</v>
      </c>
      <c r="K6" t="s">
        <v>31</v>
      </c>
      <c r="L6" t="s">
        <v>11</v>
      </c>
    </row>
    <row r="7" spans="1:12" x14ac:dyDescent="0.3">
      <c r="A7" t="s">
        <v>32</v>
      </c>
      <c r="B7" t="s">
        <v>33</v>
      </c>
      <c r="C7" t="s">
        <v>34</v>
      </c>
      <c r="D7" t="s">
        <v>35</v>
      </c>
      <c r="E7">
        <v>2024</v>
      </c>
      <c r="F7" s="5">
        <v>13</v>
      </c>
      <c r="G7" s="5">
        <v>3</v>
      </c>
      <c r="H7" s="5" t="s">
        <v>6</v>
      </c>
      <c r="I7" s="5" t="s">
        <v>6</v>
      </c>
      <c r="J7" t="str">
        <f>HYPERLINK("http://dx.doi.org/10.3390/electronics13030498","http://dx.doi.org/10.3390/electronics13030498")</f>
        <v>http://dx.doi.org/10.3390/electronics13030498</v>
      </c>
      <c r="K7" t="s">
        <v>37</v>
      </c>
      <c r="L7" t="s">
        <v>36</v>
      </c>
    </row>
    <row r="8" spans="1:12" x14ac:dyDescent="0.3">
      <c r="A8" t="s">
        <v>38</v>
      </c>
      <c r="B8" t="s">
        <v>39</v>
      </c>
      <c r="C8" t="s">
        <v>40</v>
      </c>
      <c r="D8" t="s">
        <v>41</v>
      </c>
      <c r="E8">
        <v>2025</v>
      </c>
      <c r="F8" s="5">
        <v>28</v>
      </c>
      <c r="G8" s="5">
        <v>4</v>
      </c>
      <c r="H8" s="5">
        <v>545</v>
      </c>
      <c r="I8" s="5">
        <v>560</v>
      </c>
      <c r="J8" t="str">
        <f>HYPERLINK("http://dx.doi.org/10.1080/13683500.2023.2300032","http://dx.doi.org/10.1080/13683500.2023.2300032")</f>
        <v>http://dx.doi.org/10.1080/13683500.2023.2300032</v>
      </c>
      <c r="K8" t="s">
        <v>42</v>
      </c>
      <c r="L8" t="s">
        <v>11</v>
      </c>
    </row>
    <row r="9" spans="1:12" x14ac:dyDescent="0.3">
      <c r="A9" t="s">
        <v>43</v>
      </c>
      <c r="B9" t="s">
        <v>44</v>
      </c>
      <c r="C9" t="s">
        <v>45</v>
      </c>
      <c r="D9" t="s">
        <v>46</v>
      </c>
      <c r="E9">
        <v>2024</v>
      </c>
      <c r="F9" s="5">
        <v>151</v>
      </c>
      <c r="G9" s="5" t="s">
        <v>6</v>
      </c>
      <c r="H9" s="5" t="s">
        <v>6</v>
      </c>
      <c r="I9" s="5" t="s">
        <v>6</v>
      </c>
      <c r="J9" t="str">
        <f>HYPERLINK("http://dx.doi.org/10.1016/j.artmed.2024.102861","http://dx.doi.org/10.1016/j.artmed.2024.102861")</f>
        <v>http://dx.doi.org/10.1016/j.artmed.2024.102861</v>
      </c>
      <c r="K9" t="s">
        <v>47</v>
      </c>
      <c r="L9" t="s">
        <v>36</v>
      </c>
    </row>
    <row r="10" spans="1:12" x14ac:dyDescent="0.3">
      <c r="A10" t="s">
        <v>48</v>
      </c>
      <c r="B10" t="s">
        <v>49</v>
      </c>
      <c r="C10" t="s">
        <v>50</v>
      </c>
      <c r="D10" t="s">
        <v>46</v>
      </c>
      <c r="E10">
        <v>2024</v>
      </c>
      <c r="F10" s="5">
        <v>61</v>
      </c>
      <c r="G10" s="5">
        <v>3</v>
      </c>
      <c r="H10" s="5">
        <v>739</v>
      </c>
      <c r="I10" s="5">
        <v>751</v>
      </c>
      <c r="J10" t="str">
        <f>HYPERLINK("http://dx.doi.org/10.1111/joms.13045","http://dx.doi.org/10.1111/joms.13045")</f>
        <v>http://dx.doi.org/10.1111/joms.13045</v>
      </c>
      <c r="K10" t="s">
        <v>51</v>
      </c>
      <c r="L10" t="s">
        <v>11</v>
      </c>
    </row>
    <row r="11" spans="1:12" x14ac:dyDescent="0.3">
      <c r="A11" t="s">
        <v>52</v>
      </c>
      <c r="B11" t="s">
        <v>53</v>
      </c>
      <c r="C11" t="s">
        <v>54</v>
      </c>
      <c r="D11" t="s">
        <v>19</v>
      </c>
      <c r="E11">
        <v>2024</v>
      </c>
      <c r="F11" s="5">
        <v>12</v>
      </c>
      <c r="G11" s="5">
        <v>3</v>
      </c>
      <c r="H11" s="5" t="s">
        <v>6</v>
      </c>
      <c r="I11" s="5" t="s">
        <v>6</v>
      </c>
      <c r="J11" t="str">
        <f>HYPERLINK("http://dx.doi.org/10.3390/jmse12030439","http://dx.doi.org/10.3390/jmse12030439")</f>
        <v>http://dx.doi.org/10.3390/jmse12030439</v>
      </c>
      <c r="K11" t="s">
        <v>55</v>
      </c>
      <c r="L11" t="s">
        <v>36</v>
      </c>
    </row>
    <row r="12" spans="1:12" x14ac:dyDescent="0.3">
      <c r="A12" t="s">
        <v>56</v>
      </c>
      <c r="B12" t="s">
        <v>57</v>
      </c>
      <c r="C12" t="s">
        <v>58</v>
      </c>
      <c r="D12" t="s">
        <v>59</v>
      </c>
      <c r="E12">
        <v>2024</v>
      </c>
      <c r="F12" s="5">
        <v>21</v>
      </c>
      <c r="G12" s="5">
        <v>1</v>
      </c>
      <c r="H12" s="5" t="s">
        <v>6</v>
      </c>
      <c r="I12" s="5" t="s">
        <v>6</v>
      </c>
      <c r="J12" t="str">
        <f>HYPERLINK("http://dx.doi.org/10.1186/s41239-024-00448-3","http://dx.doi.org/10.1186/s41239-024-00448-3")</f>
        <v>http://dx.doi.org/10.1186/s41239-024-00448-3</v>
      </c>
      <c r="K12" t="s">
        <v>60</v>
      </c>
      <c r="L12" t="s">
        <v>11</v>
      </c>
    </row>
    <row r="13" spans="1:12" x14ac:dyDescent="0.3">
      <c r="A13" t="s">
        <v>61</v>
      </c>
      <c r="B13" t="s">
        <v>62</v>
      </c>
      <c r="C13" t="s">
        <v>63</v>
      </c>
      <c r="D13" t="s">
        <v>6</v>
      </c>
      <c r="E13">
        <v>2024</v>
      </c>
      <c r="F13" s="5">
        <v>17</v>
      </c>
      <c r="G13" s="5" t="s">
        <v>6</v>
      </c>
      <c r="H13" s="5">
        <v>413</v>
      </c>
      <c r="I13" s="5">
        <v>427</v>
      </c>
      <c r="J13" t="str">
        <f>HYPERLINK("http://dx.doi.org/10.2147/PRBM.S441444","http://dx.doi.org/10.2147/PRBM.S441444")</f>
        <v>http://dx.doi.org/10.2147/PRBM.S441444</v>
      </c>
      <c r="K13" t="s">
        <v>64</v>
      </c>
      <c r="L13" t="s">
        <v>11</v>
      </c>
    </row>
    <row r="14" spans="1:12" x14ac:dyDescent="0.3">
      <c r="A14" t="s">
        <v>65</v>
      </c>
      <c r="B14" s="1" t="s">
        <v>925</v>
      </c>
      <c r="C14" t="s">
        <v>66</v>
      </c>
      <c r="D14" t="s">
        <v>35</v>
      </c>
      <c r="E14">
        <v>2024</v>
      </c>
      <c r="F14" s="5">
        <v>67</v>
      </c>
      <c r="G14" s="5">
        <v>1</v>
      </c>
      <c r="H14" s="5">
        <v>5</v>
      </c>
      <c r="I14" s="5">
        <v>32</v>
      </c>
      <c r="J14" t="str">
        <f>HYPERLINK("http://dx.doi.org/10.5465/amj.2022.0426","http://dx.doi.org/10.5465/amj.2022.0426")</f>
        <v>http://dx.doi.org/10.5465/amj.2022.0426</v>
      </c>
      <c r="K14" t="s">
        <v>67</v>
      </c>
      <c r="L14" t="s">
        <v>11</v>
      </c>
    </row>
    <row r="15" spans="1:12" x14ac:dyDescent="0.3">
      <c r="A15" t="s">
        <v>68</v>
      </c>
      <c r="B15" t="s">
        <v>69</v>
      </c>
      <c r="C15" t="s">
        <v>70</v>
      </c>
      <c r="D15" t="s">
        <v>71</v>
      </c>
      <c r="E15">
        <v>2024</v>
      </c>
      <c r="F15" s="5">
        <v>44</v>
      </c>
      <c r="G15" s="5" t="s">
        <v>72</v>
      </c>
      <c r="H15" s="5">
        <v>149</v>
      </c>
      <c r="I15" s="5">
        <v>172</v>
      </c>
      <c r="J15" t="str">
        <f>HYPERLINK("http://dx.doi.org/10.1080/02642069.2024.2305451","http://dx.doi.org/10.1080/02642069.2024.2305451")</f>
        <v>http://dx.doi.org/10.1080/02642069.2024.2305451</v>
      </c>
      <c r="K15" t="s">
        <v>73</v>
      </c>
      <c r="L15" t="s">
        <v>11</v>
      </c>
    </row>
    <row r="16" spans="1:12" x14ac:dyDescent="0.3">
      <c r="A16" t="s">
        <v>74</v>
      </c>
      <c r="B16" t="s">
        <v>75</v>
      </c>
      <c r="C16" t="s">
        <v>76</v>
      </c>
      <c r="D16" t="s">
        <v>77</v>
      </c>
      <c r="E16">
        <v>2024</v>
      </c>
      <c r="F16" s="5">
        <v>201</v>
      </c>
      <c r="G16" s="5" t="s">
        <v>6</v>
      </c>
      <c r="H16" s="5" t="s">
        <v>6</v>
      </c>
      <c r="I16" s="5" t="s">
        <v>6</v>
      </c>
      <c r="J16" t="str">
        <f>HYPERLINK("http://dx.doi.org/10.1016/j.techfore.2023.123203","http://dx.doi.org/10.1016/j.techfore.2023.123203")</f>
        <v>http://dx.doi.org/10.1016/j.techfore.2023.123203</v>
      </c>
      <c r="K16" t="s">
        <v>78</v>
      </c>
      <c r="L16" t="s">
        <v>11</v>
      </c>
    </row>
    <row r="17" spans="1:12" x14ac:dyDescent="0.3">
      <c r="A17" t="s">
        <v>79</v>
      </c>
      <c r="B17" t="s">
        <v>80</v>
      </c>
      <c r="C17" t="s">
        <v>81</v>
      </c>
      <c r="D17" t="s">
        <v>6</v>
      </c>
      <c r="E17">
        <v>2024</v>
      </c>
      <c r="F17" s="5">
        <v>12</v>
      </c>
      <c r="G17" s="5" t="s">
        <v>6</v>
      </c>
      <c r="H17" s="5">
        <v>44481</v>
      </c>
      <c r="I17" s="5">
        <v>44509</v>
      </c>
      <c r="J17" t="str">
        <f>HYPERLINK("http://dx.doi.org/10.1109/ACCESS.2021.3132500","http://dx.doi.org/10.1109/ACCESS.2021.3132500")</f>
        <v>http://dx.doi.org/10.1109/ACCESS.2021.3132500</v>
      </c>
      <c r="K17" t="s">
        <v>82</v>
      </c>
      <c r="L17" t="s">
        <v>36</v>
      </c>
    </row>
    <row r="18" spans="1:12" x14ac:dyDescent="0.3">
      <c r="A18" t="s">
        <v>83</v>
      </c>
      <c r="B18" t="s">
        <v>84</v>
      </c>
      <c r="C18" t="s">
        <v>85</v>
      </c>
      <c r="D18" t="s">
        <v>86</v>
      </c>
      <c r="E18">
        <v>2024</v>
      </c>
      <c r="F18" s="5">
        <v>363</v>
      </c>
      <c r="G18" s="5" t="s">
        <v>6</v>
      </c>
      <c r="H18" s="5" t="s">
        <v>6</v>
      </c>
      <c r="I18" s="5" t="s">
        <v>6</v>
      </c>
      <c r="J18" t="str">
        <f>HYPERLINK("http://dx.doi.org/10.1016/j.apenergy.2024.123081","http://dx.doi.org/10.1016/j.apenergy.2024.123081")</f>
        <v>http://dx.doi.org/10.1016/j.apenergy.2024.123081</v>
      </c>
      <c r="K18" t="s">
        <v>87</v>
      </c>
      <c r="L18" t="s">
        <v>36</v>
      </c>
    </row>
    <row r="19" spans="1:12" x14ac:dyDescent="0.3">
      <c r="A19" t="s">
        <v>88</v>
      </c>
      <c r="B19" t="s">
        <v>89</v>
      </c>
      <c r="C19" t="s">
        <v>90</v>
      </c>
      <c r="D19" t="s">
        <v>91</v>
      </c>
      <c r="E19">
        <v>2024</v>
      </c>
      <c r="F19" s="5">
        <v>7</v>
      </c>
      <c r="G19" s="5">
        <v>3</v>
      </c>
      <c r="H19" s="5" t="s">
        <v>6</v>
      </c>
      <c r="I19" s="5" t="s">
        <v>6</v>
      </c>
      <c r="J19" t="str">
        <f>HYPERLINK("http://dx.doi.org/10.1001/jamanetworkopen.2024.3201","http://dx.doi.org/10.1001/jamanetworkopen.2024.3201")</f>
        <v>http://dx.doi.org/10.1001/jamanetworkopen.2024.3201</v>
      </c>
      <c r="K19" t="s">
        <v>92</v>
      </c>
      <c r="L19" t="s">
        <v>36</v>
      </c>
    </row>
    <row r="20" spans="1:12" x14ac:dyDescent="0.3">
      <c r="A20" t="s">
        <v>93</v>
      </c>
      <c r="B20" t="s">
        <v>94</v>
      </c>
      <c r="C20" t="s">
        <v>95</v>
      </c>
      <c r="D20" t="s">
        <v>96</v>
      </c>
      <c r="E20">
        <v>2024</v>
      </c>
      <c r="F20" s="5">
        <v>77</v>
      </c>
      <c r="G20" s="5" t="s">
        <v>6</v>
      </c>
      <c r="H20" s="5" t="s">
        <v>6</v>
      </c>
      <c r="I20" s="5" t="s">
        <v>6</v>
      </c>
      <c r="J20" t="str">
        <f>HYPERLINK("http://dx.doi.org/10.1016/j.ijinfomgt.2024.102781","http://dx.doi.org/10.1016/j.ijinfomgt.2024.102781")</f>
        <v>http://dx.doi.org/10.1016/j.ijinfomgt.2024.102781</v>
      </c>
      <c r="K20" t="s">
        <v>97</v>
      </c>
      <c r="L20" t="s">
        <v>11</v>
      </c>
    </row>
    <row r="21" spans="1:12" x14ac:dyDescent="0.3">
      <c r="A21" t="s">
        <v>98</v>
      </c>
      <c r="B21" t="s">
        <v>99</v>
      </c>
      <c r="C21" t="s">
        <v>100</v>
      </c>
      <c r="D21" t="s">
        <v>30</v>
      </c>
      <c r="E21">
        <v>2024</v>
      </c>
      <c r="F21" s="5">
        <v>58</v>
      </c>
      <c r="G21" s="5">
        <v>10</v>
      </c>
      <c r="H21" s="5">
        <v>1793</v>
      </c>
      <c r="I21" s="5">
        <v>1798</v>
      </c>
      <c r="J21" t="str">
        <f>HYPERLINK("http://dx.doi.org/10.18805/IJAR.BF-1742","http://dx.doi.org/10.18805/IJAR.BF-1742")</f>
        <v>http://dx.doi.org/10.18805/IJAR.BF-1742</v>
      </c>
      <c r="K21" t="s">
        <v>101</v>
      </c>
      <c r="L21" t="s">
        <v>36</v>
      </c>
    </row>
    <row r="22" spans="1:12" x14ac:dyDescent="0.3">
      <c r="A22" t="s">
        <v>102</v>
      </c>
      <c r="B22" t="s">
        <v>103</v>
      </c>
      <c r="C22" t="s">
        <v>104</v>
      </c>
      <c r="D22" t="s">
        <v>105</v>
      </c>
      <c r="E22">
        <v>2024</v>
      </c>
      <c r="F22" s="5">
        <v>66</v>
      </c>
      <c r="G22" s="5">
        <v>6</v>
      </c>
      <c r="H22" s="5">
        <v>1054</v>
      </c>
      <c r="I22" s="5">
        <v>1059</v>
      </c>
      <c r="J22" t="str">
        <f>HYPERLINK("http://dx.doi.org/10.1016/j.amepre.2024.02.006","http://dx.doi.org/10.1016/j.amepre.2024.02.006")</f>
        <v>http://dx.doi.org/10.1016/j.amepre.2024.02.006</v>
      </c>
      <c r="K22" t="s">
        <v>107</v>
      </c>
      <c r="L22" t="s">
        <v>106</v>
      </c>
    </row>
    <row r="23" spans="1:12" x14ac:dyDescent="0.3">
      <c r="A23" t="s">
        <v>108</v>
      </c>
      <c r="B23" t="s">
        <v>109</v>
      </c>
      <c r="C23" t="s">
        <v>110</v>
      </c>
      <c r="D23" t="s">
        <v>111</v>
      </c>
      <c r="E23">
        <v>2025</v>
      </c>
      <c r="F23" s="5">
        <v>37</v>
      </c>
      <c r="G23" s="5">
        <v>1</v>
      </c>
      <c r="H23" s="5">
        <v>1</v>
      </c>
      <c r="I23" s="5">
        <v>17</v>
      </c>
      <c r="J23" t="str">
        <f>HYPERLINK("http://dx.doi.org/10.1108/IJCHM-03-2024-0322","http://dx.doi.org/10.1108/IJCHM-03-2024-0322")</f>
        <v>http://dx.doi.org/10.1108/IJCHM-03-2024-0322</v>
      </c>
      <c r="K23" t="s">
        <v>112</v>
      </c>
      <c r="L23" t="s">
        <v>11</v>
      </c>
    </row>
    <row r="24" spans="1:12" x14ac:dyDescent="0.3">
      <c r="A24" t="s">
        <v>113</v>
      </c>
      <c r="B24" t="s">
        <v>114</v>
      </c>
      <c r="C24" t="s">
        <v>115</v>
      </c>
      <c r="D24" t="s">
        <v>10</v>
      </c>
      <c r="E24">
        <v>2024</v>
      </c>
      <c r="F24" s="5">
        <v>107</v>
      </c>
      <c r="G24" s="5" t="s">
        <v>6</v>
      </c>
      <c r="H24" s="5" t="s">
        <v>6</v>
      </c>
      <c r="I24" s="5" t="s">
        <v>6</v>
      </c>
      <c r="J24" t="str">
        <f>HYPERLINK("http://dx.doi.org/10.1016/j.inffus.2024.102303","http://dx.doi.org/10.1016/j.inffus.2024.102303")</f>
        <v>http://dx.doi.org/10.1016/j.inffus.2024.102303</v>
      </c>
      <c r="K24" t="s">
        <v>116</v>
      </c>
      <c r="L24" t="s">
        <v>36</v>
      </c>
    </row>
    <row r="25" spans="1:12" x14ac:dyDescent="0.3">
      <c r="A25" t="s">
        <v>117</v>
      </c>
      <c r="B25" t="s">
        <v>118</v>
      </c>
      <c r="C25" t="s">
        <v>119</v>
      </c>
      <c r="D25" t="s">
        <v>120</v>
      </c>
      <c r="E25">
        <v>2024</v>
      </c>
      <c r="F25" s="5" t="s">
        <v>6</v>
      </c>
      <c r="G25" s="5" t="s">
        <v>6</v>
      </c>
      <c r="H25" s="5" t="s">
        <v>6</v>
      </c>
      <c r="I25" s="5" t="s">
        <v>6</v>
      </c>
      <c r="J25" t="str">
        <f>HYPERLINK("http://dx.doi.org/10.1177/15347346241236811","http://dx.doi.org/10.1177/15347346241236811")</f>
        <v>http://dx.doi.org/10.1177/15347346241236811</v>
      </c>
      <c r="K25" t="s">
        <v>121</v>
      </c>
      <c r="L25" t="s">
        <v>36</v>
      </c>
    </row>
    <row r="26" spans="1:12" x14ac:dyDescent="0.3">
      <c r="A26" t="s">
        <v>122</v>
      </c>
      <c r="B26" t="s">
        <v>123</v>
      </c>
      <c r="C26" t="s">
        <v>124</v>
      </c>
      <c r="D26" t="s">
        <v>125</v>
      </c>
      <c r="E26">
        <v>2024</v>
      </c>
      <c r="F26" s="5">
        <v>11</v>
      </c>
      <c r="G26" s="5">
        <v>1</v>
      </c>
      <c r="H26" s="5" t="s">
        <v>6</v>
      </c>
      <c r="I26" s="5" t="s">
        <v>6</v>
      </c>
      <c r="J26" t="str">
        <f>HYPERLINK("http://dx.doi.org/10.1002/nop2.2070","http://dx.doi.org/10.1002/nop2.2070")</f>
        <v>http://dx.doi.org/10.1002/nop2.2070</v>
      </c>
      <c r="K26" t="s">
        <v>126</v>
      </c>
      <c r="L26" t="s">
        <v>106</v>
      </c>
    </row>
    <row r="27" spans="1:12" x14ac:dyDescent="0.3">
      <c r="A27" t="s">
        <v>127</v>
      </c>
      <c r="B27" t="s">
        <v>128</v>
      </c>
      <c r="C27" t="s">
        <v>129</v>
      </c>
      <c r="D27" t="s">
        <v>19</v>
      </c>
      <c r="E27">
        <v>2024</v>
      </c>
      <c r="F27" s="5">
        <v>32</v>
      </c>
      <c r="G27" s="5">
        <v>3</v>
      </c>
      <c r="H27" s="5">
        <v>293</v>
      </c>
      <c r="I27" s="5">
        <v>299</v>
      </c>
      <c r="J27" t="str">
        <f>HYPERLINK("http://dx.doi.org/10.1016/j.jagp.2023.09.006","http://dx.doi.org/10.1016/j.jagp.2023.09.006")</f>
        <v>http://dx.doi.org/10.1016/j.jagp.2023.09.006</v>
      </c>
      <c r="K27" t="s">
        <v>130</v>
      </c>
      <c r="L27" t="s">
        <v>106</v>
      </c>
    </row>
    <row r="28" spans="1:12" x14ac:dyDescent="0.3">
      <c r="A28" t="s">
        <v>131</v>
      </c>
      <c r="B28" t="s">
        <v>132</v>
      </c>
      <c r="C28" t="s">
        <v>133</v>
      </c>
      <c r="D28" t="s">
        <v>46</v>
      </c>
      <c r="E28">
        <v>2024</v>
      </c>
      <c r="F28" s="5">
        <v>184</v>
      </c>
      <c r="G28" s="5">
        <v>5</v>
      </c>
      <c r="H28" s="5">
        <v>557</v>
      </c>
      <c r="I28" s="5">
        <v>562</v>
      </c>
      <c r="J28" t="str">
        <f>HYPERLINK("http://dx.doi.org/10.1001/jamainternmed.2024.0084","http://dx.doi.org/10.1001/jamainternmed.2024.0084")</f>
        <v>http://dx.doi.org/10.1001/jamainternmed.2024.0084</v>
      </c>
      <c r="K28" t="s">
        <v>134</v>
      </c>
      <c r="L28" t="s">
        <v>36</v>
      </c>
    </row>
    <row r="29" spans="1:12" x14ac:dyDescent="0.3">
      <c r="A29" t="s">
        <v>135</v>
      </c>
      <c r="B29" t="s">
        <v>136</v>
      </c>
      <c r="C29" t="s">
        <v>137</v>
      </c>
      <c r="D29" t="s">
        <v>125</v>
      </c>
      <c r="E29">
        <v>2024</v>
      </c>
      <c r="F29" s="5">
        <v>35</v>
      </c>
      <c r="G29" s="5">
        <v>1</v>
      </c>
      <c r="H29" s="5">
        <v>3</v>
      </c>
      <c r="I29" s="5">
        <v>23</v>
      </c>
      <c r="J29" t="str">
        <f>HYPERLINK("http://dx.doi.org/10.1111/1467-8551.12788","http://dx.doi.org/10.1111/1467-8551.12788")</f>
        <v>http://dx.doi.org/10.1111/1467-8551.12788</v>
      </c>
      <c r="K29" t="s">
        <v>138</v>
      </c>
      <c r="L29" t="s">
        <v>11</v>
      </c>
    </row>
    <row r="30" spans="1:12" x14ac:dyDescent="0.3">
      <c r="A30" t="s">
        <v>139</v>
      </c>
      <c r="B30" t="s">
        <v>140</v>
      </c>
      <c r="C30" t="s">
        <v>141</v>
      </c>
      <c r="D30" t="s">
        <v>142</v>
      </c>
      <c r="E30">
        <v>2024</v>
      </c>
      <c r="F30" s="5" t="s">
        <v>6</v>
      </c>
      <c r="G30" s="5" t="s">
        <v>6</v>
      </c>
      <c r="H30" s="5" t="s">
        <v>6</v>
      </c>
      <c r="I30" s="5" t="s">
        <v>6</v>
      </c>
      <c r="J30" t="str">
        <f>HYPERLINK("http://dx.doi.org/10.1007/s11191-024-00508-0","http://dx.doi.org/10.1007/s11191-024-00508-0")</f>
        <v>http://dx.doi.org/10.1007/s11191-024-00508-0</v>
      </c>
      <c r="K30" t="s">
        <v>144</v>
      </c>
      <c r="L30" t="s">
        <v>143</v>
      </c>
    </row>
    <row r="31" spans="1:12" x14ac:dyDescent="0.3">
      <c r="A31" t="s">
        <v>145</v>
      </c>
      <c r="B31" t="s">
        <v>146</v>
      </c>
      <c r="C31" t="s">
        <v>147</v>
      </c>
      <c r="D31" t="s">
        <v>125</v>
      </c>
      <c r="E31">
        <v>2024</v>
      </c>
      <c r="F31" s="5">
        <v>99</v>
      </c>
      <c r="G31" s="5">
        <v>1</v>
      </c>
      <c r="H31" s="5">
        <v>22</v>
      </c>
      <c r="I31" s="5">
        <v>27</v>
      </c>
      <c r="J31" t="str">
        <f>HYPERLINK("http://dx.doi.org/10.1097/ACM.0000000000005439","http://dx.doi.org/10.1097/ACM.0000000000005439")</f>
        <v>http://dx.doi.org/10.1097/ACM.0000000000005439</v>
      </c>
      <c r="K31" t="s">
        <v>148</v>
      </c>
      <c r="L31" t="s">
        <v>36</v>
      </c>
    </row>
    <row r="32" spans="1:12" x14ac:dyDescent="0.3">
      <c r="A32" t="s">
        <v>149</v>
      </c>
      <c r="B32" t="s">
        <v>150</v>
      </c>
      <c r="C32" t="s">
        <v>151</v>
      </c>
      <c r="D32" t="s">
        <v>152</v>
      </c>
      <c r="E32">
        <v>2024</v>
      </c>
      <c r="F32" s="5">
        <v>42</v>
      </c>
      <c r="G32" s="5">
        <v>3</v>
      </c>
      <c r="H32" s="5">
        <v>280</v>
      </c>
      <c r="I32" s="5">
        <v>295</v>
      </c>
      <c r="J32" t="str">
        <f>HYPERLINK("http://dx.doi.org/10.1016/j.clindermatol.2023.12.022","http://dx.doi.org/10.1016/j.clindermatol.2023.12.022")</f>
        <v>http://dx.doi.org/10.1016/j.clindermatol.2023.12.022</v>
      </c>
      <c r="K32" t="s">
        <v>153</v>
      </c>
      <c r="L32" t="s">
        <v>36</v>
      </c>
    </row>
    <row r="33" spans="1:12" x14ac:dyDescent="0.3">
      <c r="A33" t="s">
        <v>154</v>
      </c>
      <c r="B33" t="s">
        <v>155</v>
      </c>
      <c r="C33" t="s">
        <v>156</v>
      </c>
      <c r="D33" t="s">
        <v>157</v>
      </c>
      <c r="E33">
        <v>2024</v>
      </c>
      <c r="F33" s="5">
        <v>114</v>
      </c>
      <c r="G33" s="5">
        <v>5</v>
      </c>
      <c r="H33" s="5">
        <v>876</v>
      </c>
      <c r="I33" s="5">
        <v>897</v>
      </c>
      <c r="J33" t="str">
        <f>HYPERLINK("http://dx.doi.org/10.1080/24694452.2024.2313515","http://dx.doi.org/10.1080/24694452.2024.2313515")</f>
        <v>http://dx.doi.org/10.1080/24694452.2024.2313515</v>
      </c>
      <c r="K33" t="s">
        <v>158</v>
      </c>
      <c r="L33" t="s">
        <v>11</v>
      </c>
    </row>
    <row r="34" spans="1:12" x14ac:dyDescent="0.3">
      <c r="A34" t="s">
        <v>159</v>
      </c>
      <c r="B34" t="s">
        <v>160</v>
      </c>
      <c r="C34" t="s">
        <v>23</v>
      </c>
      <c r="D34" t="s">
        <v>161</v>
      </c>
      <c r="E34">
        <v>2024</v>
      </c>
      <c r="F34" s="5">
        <v>11</v>
      </c>
      <c r="G34" s="5">
        <v>1</v>
      </c>
      <c r="H34" s="5" t="s">
        <v>6</v>
      </c>
      <c r="I34" s="5" t="s">
        <v>6</v>
      </c>
      <c r="J34" t="str">
        <f>HYPERLINK("http://dx.doi.org/10.1057/s41599-024-02647-9","http://dx.doi.org/10.1057/s41599-024-02647-9")</f>
        <v>http://dx.doi.org/10.1057/s41599-024-02647-9</v>
      </c>
      <c r="K34" t="s">
        <v>162</v>
      </c>
      <c r="L34" t="s">
        <v>25</v>
      </c>
    </row>
    <row r="35" spans="1:12" x14ac:dyDescent="0.3">
      <c r="A35" t="s">
        <v>163</v>
      </c>
      <c r="B35" t="s">
        <v>164</v>
      </c>
      <c r="C35" t="s">
        <v>165</v>
      </c>
      <c r="D35" t="s">
        <v>77</v>
      </c>
      <c r="E35">
        <v>2024</v>
      </c>
      <c r="F35" s="5">
        <v>142</v>
      </c>
      <c r="G35" s="5">
        <v>4</v>
      </c>
      <c r="H35" s="5">
        <v>321</v>
      </c>
      <c r="I35" s="5">
        <v>326</v>
      </c>
      <c r="J35" t="str">
        <f>HYPERLINK("http://dx.doi.org/10.1001/jamaophthalmol.2024.0017","http://dx.doi.org/10.1001/jamaophthalmol.2024.0017")</f>
        <v>http://dx.doi.org/10.1001/jamaophthalmol.2024.0017</v>
      </c>
      <c r="K35" t="s">
        <v>166</v>
      </c>
      <c r="L35" t="s">
        <v>36</v>
      </c>
    </row>
    <row r="36" spans="1:12" x14ac:dyDescent="0.3">
      <c r="A36" t="s">
        <v>167</v>
      </c>
      <c r="B36" t="s">
        <v>168</v>
      </c>
      <c r="C36" t="s">
        <v>169</v>
      </c>
      <c r="D36" t="s">
        <v>19</v>
      </c>
      <c r="E36">
        <v>2024</v>
      </c>
      <c r="F36" s="5">
        <v>69</v>
      </c>
      <c r="G36" s="5">
        <v>3</v>
      </c>
      <c r="H36" s="5">
        <v>791</v>
      </c>
      <c r="I36" s="5">
        <v>797</v>
      </c>
      <c r="J36" t="str">
        <f>HYPERLINK("http://dx.doi.org/10.1007/s10620-024-08274-3","http://dx.doi.org/10.1007/s10620-024-08274-3")</f>
        <v>http://dx.doi.org/10.1007/s10620-024-08274-3</v>
      </c>
      <c r="K36" t="s">
        <v>170</v>
      </c>
      <c r="L36" t="s">
        <v>36</v>
      </c>
    </row>
    <row r="37" spans="1:12" x14ac:dyDescent="0.3">
      <c r="A37" t="s">
        <v>171</v>
      </c>
      <c r="B37" t="s">
        <v>172</v>
      </c>
      <c r="C37" t="s">
        <v>173</v>
      </c>
      <c r="D37" t="s">
        <v>10</v>
      </c>
      <c r="E37">
        <v>2024</v>
      </c>
      <c r="F37" s="5">
        <v>10</v>
      </c>
      <c r="G37" s="5">
        <v>7</v>
      </c>
      <c r="H37" s="5">
        <v>956</v>
      </c>
      <c r="I37" s="5">
        <v>960</v>
      </c>
      <c r="J37" t="str">
        <f>HYPERLINK("http://dx.doi.org/10.1001/jamaoncol.2024.0836","http://dx.doi.org/10.1001/jamaoncol.2024.0836")</f>
        <v>http://dx.doi.org/10.1001/jamaoncol.2024.0836</v>
      </c>
      <c r="K37" t="s">
        <v>174</v>
      </c>
      <c r="L37" t="s">
        <v>36</v>
      </c>
    </row>
    <row r="38" spans="1:12" x14ac:dyDescent="0.3">
      <c r="A38" t="s">
        <v>175</v>
      </c>
      <c r="B38" t="s">
        <v>176</v>
      </c>
      <c r="C38" t="s">
        <v>9</v>
      </c>
      <c r="D38" t="s">
        <v>19</v>
      </c>
      <c r="E38">
        <v>2024</v>
      </c>
      <c r="F38" s="5">
        <v>175</v>
      </c>
      <c r="G38" s="5" t="s">
        <v>6</v>
      </c>
      <c r="H38" s="5" t="s">
        <v>6</v>
      </c>
      <c r="I38" s="5" t="s">
        <v>6</v>
      </c>
      <c r="J38" t="str">
        <f>HYPERLINK("http://dx.doi.org/10.1016/j.jbusres.2024.114542","http://dx.doi.org/10.1016/j.jbusres.2024.114542")</f>
        <v>http://dx.doi.org/10.1016/j.jbusres.2024.114542</v>
      </c>
      <c r="K38" t="s">
        <v>177</v>
      </c>
      <c r="L38" t="s">
        <v>11</v>
      </c>
    </row>
    <row r="39" spans="1:12" x14ac:dyDescent="0.3">
      <c r="A39" t="s">
        <v>178</v>
      </c>
      <c r="B39" t="s">
        <v>179</v>
      </c>
      <c r="C39" t="s">
        <v>180</v>
      </c>
      <c r="D39" t="s">
        <v>181</v>
      </c>
      <c r="E39">
        <v>2024</v>
      </c>
      <c r="F39" s="5">
        <v>14</v>
      </c>
      <c r="G39" s="5">
        <v>1</v>
      </c>
      <c r="H39" s="5" t="s">
        <v>6</v>
      </c>
      <c r="I39" s="5" t="s">
        <v>6</v>
      </c>
      <c r="J39" t="str">
        <f>HYPERLINK("http://dx.doi.org/10.1038/s41598-024-52428-2","http://dx.doi.org/10.1038/s41598-024-52428-2")</f>
        <v>http://dx.doi.org/10.1038/s41598-024-52428-2</v>
      </c>
      <c r="K39" t="s">
        <v>182</v>
      </c>
      <c r="L39" t="s">
        <v>36</v>
      </c>
    </row>
    <row r="40" spans="1:12" x14ac:dyDescent="0.3">
      <c r="A40" t="s">
        <v>183</v>
      </c>
      <c r="B40" t="s">
        <v>184</v>
      </c>
      <c r="C40" t="s">
        <v>185</v>
      </c>
      <c r="D40" t="s">
        <v>186</v>
      </c>
      <c r="E40">
        <v>2024</v>
      </c>
      <c r="F40" s="5">
        <v>49</v>
      </c>
      <c r="G40" s="5">
        <v>7</v>
      </c>
      <c r="H40" s="5">
        <v>707</v>
      </c>
      <c r="I40" s="5">
        <v>710</v>
      </c>
      <c r="J40" t="str">
        <f>HYPERLINK("http://dx.doi.org/10.1093/ced/llad402","http://dx.doi.org/10.1093/ced/llad402")</f>
        <v>http://dx.doi.org/10.1093/ced/llad402</v>
      </c>
      <c r="K40" t="s">
        <v>187</v>
      </c>
      <c r="L40" t="s">
        <v>36</v>
      </c>
    </row>
    <row r="41" spans="1:12" x14ac:dyDescent="0.3">
      <c r="A41" t="s">
        <v>188</v>
      </c>
      <c r="B41" t="s">
        <v>189</v>
      </c>
      <c r="C41" t="s">
        <v>190</v>
      </c>
      <c r="D41" t="s">
        <v>46</v>
      </c>
      <c r="E41">
        <v>2024</v>
      </c>
      <c r="F41" s="5">
        <v>133</v>
      </c>
      <c r="G41" s="5" t="s">
        <v>6</v>
      </c>
      <c r="H41" s="5" t="s">
        <v>6</v>
      </c>
      <c r="I41" s="5" t="s">
        <v>6</v>
      </c>
      <c r="J41" t="str">
        <f>HYPERLINK("http://dx.doi.org/10.1016/j.eneco.2024.107493","http://dx.doi.org/10.1016/j.eneco.2024.107493")</f>
        <v>http://dx.doi.org/10.1016/j.eneco.2024.107493</v>
      </c>
      <c r="K41" t="s">
        <v>191</v>
      </c>
      <c r="L41" t="s">
        <v>11</v>
      </c>
    </row>
    <row r="42" spans="1:12" x14ac:dyDescent="0.3">
      <c r="A42" t="s">
        <v>192</v>
      </c>
      <c r="B42" t="s">
        <v>193</v>
      </c>
      <c r="C42" t="s">
        <v>194</v>
      </c>
      <c r="D42" t="s">
        <v>6</v>
      </c>
      <c r="E42">
        <v>2024</v>
      </c>
      <c r="F42" s="5">
        <v>32</v>
      </c>
      <c r="G42" s="5">
        <v>2</v>
      </c>
      <c r="H42" s="5">
        <v>395</v>
      </c>
      <c r="I42" s="5">
        <v>413</v>
      </c>
      <c r="J42" t="str">
        <f>HYPERLINK("http://dx.doi.org/10.3233/XST-230194","http://dx.doi.org/10.3233/XST-230194")</f>
        <v>http://dx.doi.org/10.3233/XST-230194</v>
      </c>
      <c r="K42" t="s">
        <v>195</v>
      </c>
      <c r="L42" t="s">
        <v>36</v>
      </c>
    </row>
    <row r="43" spans="1:12" x14ac:dyDescent="0.3">
      <c r="A43" t="s">
        <v>196</v>
      </c>
      <c r="B43" t="s">
        <v>197</v>
      </c>
      <c r="C43" t="s">
        <v>190</v>
      </c>
      <c r="D43" t="s">
        <v>46</v>
      </c>
      <c r="E43">
        <v>2024</v>
      </c>
      <c r="F43" s="5">
        <v>133</v>
      </c>
      <c r="G43" s="5" t="s">
        <v>6</v>
      </c>
      <c r="H43" s="5" t="s">
        <v>6</v>
      </c>
      <c r="I43" s="5" t="s">
        <v>6</v>
      </c>
      <c r="J43" t="str">
        <f>HYPERLINK("http://dx.doi.org/10.1016/j.eneco.2024.107562","http://dx.doi.org/10.1016/j.eneco.2024.107562")</f>
        <v>http://dx.doi.org/10.1016/j.eneco.2024.107562</v>
      </c>
      <c r="K43" t="s">
        <v>198</v>
      </c>
      <c r="L43" t="s">
        <v>11</v>
      </c>
    </row>
    <row r="44" spans="1:12" x14ac:dyDescent="0.3">
      <c r="A44" t="s">
        <v>199</v>
      </c>
      <c r="B44" t="s">
        <v>200</v>
      </c>
      <c r="C44" t="s">
        <v>201</v>
      </c>
      <c r="D44" t="s">
        <v>202</v>
      </c>
      <c r="E44">
        <v>2024</v>
      </c>
      <c r="F44" s="5">
        <v>10</v>
      </c>
      <c r="G44" s="5">
        <v>3</v>
      </c>
      <c r="H44" s="5" t="s">
        <v>6</v>
      </c>
      <c r="I44" s="5" t="s">
        <v>6</v>
      </c>
      <c r="J44" t="str">
        <f>HYPERLINK("http://dx.doi.org/10.1016/j.heliyon.2024.e24727","http://dx.doi.org/10.1016/j.heliyon.2024.e24727")</f>
        <v>http://dx.doi.org/10.1016/j.heliyon.2024.e24727</v>
      </c>
      <c r="K44" t="s">
        <v>203</v>
      </c>
      <c r="L44" t="s">
        <v>36</v>
      </c>
    </row>
    <row r="45" spans="1:12" x14ac:dyDescent="0.3">
      <c r="A45" t="s">
        <v>204</v>
      </c>
      <c r="B45" t="s">
        <v>205</v>
      </c>
      <c r="C45" t="s">
        <v>206</v>
      </c>
      <c r="D45" t="s">
        <v>77</v>
      </c>
      <c r="E45">
        <v>2024</v>
      </c>
      <c r="F45" s="5">
        <v>121</v>
      </c>
      <c r="G45" s="5" t="s">
        <v>6</v>
      </c>
      <c r="H45" s="5" t="s">
        <v>6</v>
      </c>
      <c r="I45" s="5" t="s">
        <v>6</v>
      </c>
      <c r="J45" t="str">
        <f>HYPERLINK("http://dx.doi.org/10.1016/j.system.2024.103259","http://dx.doi.org/10.1016/j.system.2024.103259")</f>
        <v>http://dx.doi.org/10.1016/j.system.2024.103259</v>
      </c>
      <c r="K45" t="s">
        <v>207</v>
      </c>
      <c r="L45" t="s">
        <v>11</v>
      </c>
    </row>
    <row r="46" spans="1:12" x14ac:dyDescent="0.3">
      <c r="A46" t="s">
        <v>208</v>
      </c>
      <c r="B46" t="s">
        <v>209</v>
      </c>
      <c r="C46" t="s">
        <v>210</v>
      </c>
      <c r="D46" t="s">
        <v>202</v>
      </c>
      <c r="E46">
        <v>2024</v>
      </c>
      <c r="F46" s="5">
        <v>305</v>
      </c>
      <c r="G46" s="5" t="s">
        <v>6</v>
      </c>
      <c r="H46" s="5" t="s">
        <v>6</v>
      </c>
      <c r="I46" s="5" t="s">
        <v>6</v>
      </c>
      <c r="J46" t="str">
        <f>HYPERLINK("http://dx.doi.org/10.1016/j.enbuild.2024.113903","http://dx.doi.org/10.1016/j.enbuild.2024.113903")</f>
        <v>http://dx.doi.org/10.1016/j.enbuild.2024.113903</v>
      </c>
      <c r="K46" t="s">
        <v>211</v>
      </c>
      <c r="L46" t="s">
        <v>36</v>
      </c>
    </row>
    <row r="47" spans="1:12" x14ac:dyDescent="0.3">
      <c r="A47" t="s">
        <v>212</v>
      </c>
      <c r="B47" t="s">
        <v>213</v>
      </c>
      <c r="C47" t="s">
        <v>190</v>
      </c>
      <c r="D47" t="s">
        <v>19</v>
      </c>
      <c r="E47">
        <v>2024</v>
      </c>
      <c r="F47" s="5">
        <v>131</v>
      </c>
      <c r="G47" s="5" t="s">
        <v>6</v>
      </c>
      <c r="H47" s="5" t="s">
        <v>6</v>
      </c>
      <c r="I47" s="5" t="s">
        <v>6</v>
      </c>
      <c r="J47" t="str">
        <f>HYPERLINK("http://dx.doi.org/10.1016/j.eneco.2024.107357","http://dx.doi.org/10.1016/j.eneco.2024.107357")</f>
        <v>http://dx.doi.org/10.1016/j.eneco.2024.107357</v>
      </c>
      <c r="K47" t="s">
        <v>214</v>
      </c>
      <c r="L47" t="s">
        <v>11</v>
      </c>
    </row>
    <row r="48" spans="1:12" x14ac:dyDescent="0.3">
      <c r="A48" t="s">
        <v>215</v>
      </c>
      <c r="B48" t="s">
        <v>216</v>
      </c>
      <c r="C48" t="s">
        <v>90</v>
      </c>
      <c r="D48" t="s">
        <v>71</v>
      </c>
      <c r="E48">
        <v>2024</v>
      </c>
      <c r="F48" s="5">
        <v>7</v>
      </c>
      <c r="G48" s="5">
        <v>3</v>
      </c>
      <c r="H48" s="5" t="s">
        <v>6</v>
      </c>
      <c r="I48" s="5" t="s">
        <v>6</v>
      </c>
      <c r="J48" t="str">
        <f>HYPERLINK("http://dx.doi.org/10.1001/jamanetworkopen.2024.0357","http://dx.doi.org/10.1001/jamanetworkopen.2024.0357")</f>
        <v>http://dx.doi.org/10.1001/jamanetworkopen.2024.0357</v>
      </c>
      <c r="K48" t="s">
        <v>217</v>
      </c>
      <c r="L48" t="s">
        <v>36</v>
      </c>
    </row>
    <row r="49" spans="1:12" x14ac:dyDescent="0.3">
      <c r="A49" t="s">
        <v>218</v>
      </c>
      <c r="B49" t="s">
        <v>219</v>
      </c>
      <c r="C49" t="s">
        <v>206</v>
      </c>
      <c r="D49" t="s">
        <v>77</v>
      </c>
      <c r="E49">
        <v>2024</v>
      </c>
      <c r="F49" s="5">
        <v>121</v>
      </c>
      <c r="G49" s="5" t="s">
        <v>6</v>
      </c>
      <c r="H49" s="5" t="s">
        <v>6</v>
      </c>
      <c r="I49" s="5" t="s">
        <v>6</v>
      </c>
      <c r="J49" t="str">
        <f>HYPERLINK("http://dx.doi.org/10.1016/j.system.2024.103254","http://dx.doi.org/10.1016/j.system.2024.103254")</f>
        <v>http://dx.doi.org/10.1016/j.system.2024.103254</v>
      </c>
      <c r="K49" t="s">
        <v>220</v>
      </c>
      <c r="L49" t="s">
        <v>11</v>
      </c>
    </row>
    <row r="50" spans="1:12" x14ac:dyDescent="0.3">
      <c r="A50" t="s">
        <v>221</v>
      </c>
      <c r="B50" t="s">
        <v>222</v>
      </c>
      <c r="C50" t="s">
        <v>95</v>
      </c>
      <c r="D50" t="s">
        <v>105</v>
      </c>
      <c r="E50">
        <v>2024</v>
      </c>
      <c r="F50" s="5">
        <v>76</v>
      </c>
      <c r="G50" s="5" t="s">
        <v>6</v>
      </c>
      <c r="H50" s="5" t="s">
        <v>6</v>
      </c>
      <c r="I50" s="5" t="s">
        <v>6</v>
      </c>
      <c r="J50" t="str">
        <f>HYPERLINK("http://dx.doi.org/10.1016/j.ijinfomgt.2024.102757","http://dx.doi.org/10.1016/j.ijinfomgt.2024.102757")</f>
        <v>http://dx.doi.org/10.1016/j.ijinfomgt.2024.102757</v>
      </c>
      <c r="K50" t="s">
        <v>223</v>
      </c>
      <c r="L50" t="s">
        <v>11</v>
      </c>
    </row>
    <row r="51" spans="1:12" x14ac:dyDescent="0.3">
      <c r="A51" t="s">
        <v>224</v>
      </c>
      <c r="B51" t="s">
        <v>225</v>
      </c>
      <c r="C51" t="s">
        <v>226</v>
      </c>
      <c r="D51" t="s">
        <v>10</v>
      </c>
      <c r="E51">
        <v>2024</v>
      </c>
      <c r="F51" s="5">
        <v>95</v>
      </c>
      <c r="G51" s="5">
        <v>1</v>
      </c>
      <c r="H51" s="5">
        <v>171</v>
      </c>
      <c r="I51" s="5">
        <v>178</v>
      </c>
      <c r="J51" t="str">
        <f>HYPERLINK("http://dx.doi.org/10.1227/neu.0000000000002856","http://dx.doi.org/10.1227/neu.0000000000002856")</f>
        <v>http://dx.doi.org/10.1227/neu.0000000000002856</v>
      </c>
      <c r="K51" t="s">
        <v>227</v>
      </c>
      <c r="L51" t="s">
        <v>36</v>
      </c>
    </row>
    <row r="52" spans="1:12" x14ac:dyDescent="0.3">
      <c r="A52" t="s">
        <v>228</v>
      </c>
      <c r="B52" t="s">
        <v>229</v>
      </c>
      <c r="C52" t="s">
        <v>230</v>
      </c>
      <c r="D52" t="s">
        <v>35</v>
      </c>
      <c r="E52">
        <v>2024</v>
      </c>
      <c r="F52" s="5">
        <v>58</v>
      </c>
      <c r="G52" s="5">
        <v>2</v>
      </c>
      <c r="H52" s="5">
        <v>143</v>
      </c>
      <c r="I52" s="5">
        <v>155</v>
      </c>
      <c r="J52" t="str">
        <f>HYPERLINK("http://dx.doi.org/10.1097/MCG.0000000000001813","http://dx.doi.org/10.1097/MCG.0000000000001813")</f>
        <v>http://dx.doi.org/10.1097/MCG.0000000000001813</v>
      </c>
      <c r="K52" t="s">
        <v>231</v>
      </c>
      <c r="L52" t="s">
        <v>36</v>
      </c>
    </row>
    <row r="53" spans="1:12" x14ac:dyDescent="0.3">
      <c r="A53" t="s">
        <v>232</v>
      </c>
      <c r="B53" t="s">
        <v>233</v>
      </c>
      <c r="C53" t="s">
        <v>234</v>
      </c>
      <c r="D53" t="s">
        <v>235</v>
      </c>
      <c r="E53">
        <v>2024</v>
      </c>
      <c r="F53" s="5">
        <v>51</v>
      </c>
      <c r="G53" s="5">
        <v>4</v>
      </c>
      <c r="H53" s="5">
        <v>599</v>
      </c>
      <c r="I53" s="5">
        <v>630</v>
      </c>
      <c r="J53" t="str">
        <f>HYPERLINK("http://dx.doi.org/10.1080/15230406.2023.2295943","http://dx.doi.org/10.1080/15230406.2023.2295943")</f>
        <v>http://dx.doi.org/10.1080/15230406.2023.2295943</v>
      </c>
      <c r="K53" t="s">
        <v>236</v>
      </c>
      <c r="L53" t="s">
        <v>11</v>
      </c>
    </row>
    <row r="54" spans="1:12" x14ac:dyDescent="0.3">
      <c r="A54" t="s">
        <v>237</v>
      </c>
      <c r="B54" t="s">
        <v>238</v>
      </c>
      <c r="C54" t="s">
        <v>239</v>
      </c>
      <c r="D54" t="s">
        <v>19</v>
      </c>
      <c r="E54">
        <v>2024</v>
      </c>
      <c r="F54" s="5">
        <v>42</v>
      </c>
      <c r="G54" s="5" t="s">
        <v>6</v>
      </c>
      <c r="H54" s="5" t="s">
        <v>6</v>
      </c>
      <c r="I54" s="5" t="s">
        <v>6</v>
      </c>
      <c r="J54" t="str">
        <f>HYPERLINK("http://dx.doi.org/10.1016/j.mtphys.2024.101382","http://dx.doi.org/10.1016/j.mtphys.2024.101382")</f>
        <v>http://dx.doi.org/10.1016/j.mtphys.2024.101382</v>
      </c>
      <c r="K54" t="s">
        <v>240</v>
      </c>
      <c r="L54" t="s">
        <v>36</v>
      </c>
    </row>
    <row r="55" spans="1:12" x14ac:dyDescent="0.3">
      <c r="A55" t="s">
        <v>241</v>
      </c>
      <c r="B55" t="s">
        <v>242</v>
      </c>
      <c r="C55" t="s">
        <v>243</v>
      </c>
      <c r="D55" t="s">
        <v>125</v>
      </c>
      <c r="E55">
        <v>2024</v>
      </c>
      <c r="F55" s="5">
        <v>27</v>
      </c>
      <c r="G55" s="5">
        <v>1</v>
      </c>
      <c r="H55" s="5" t="s">
        <v>6</v>
      </c>
      <c r="I55" s="5" t="s">
        <v>6</v>
      </c>
      <c r="J55" t="str">
        <f>HYPERLINK("http://dx.doi.org/10.5944/ried.27.1.37716","http://dx.doi.org/10.5944/ried.27.1.37716")</f>
        <v>http://dx.doi.org/10.5944/ried.27.1.37716</v>
      </c>
      <c r="K55" t="s">
        <v>244</v>
      </c>
      <c r="L55" t="s">
        <v>11</v>
      </c>
    </row>
    <row r="56" spans="1:12" x14ac:dyDescent="0.3">
      <c r="A56" t="s">
        <v>245</v>
      </c>
      <c r="B56" t="s">
        <v>246</v>
      </c>
      <c r="C56" t="s">
        <v>247</v>
      </c>
      <c r="D56" t="s">
        <v>35</v>
      </c>
      <c r="E56">
        <v>2024</v>
      </c>
      <c r="F56" s="5">
        <v>165</v>
      </c>
      <c r="G56" s="5">
        <v>2</v>
      </c>
      <c r="H56" s="5">
        <v>405</v>
      </c>
      <c r="I56" s="5">
        <v>413</v>
      </c>
      <c r="J56" t="str">
        <f>HYPERLINK("http://dx.doi.org/10.1016/j.chest.2023.08.015","http://dx.doi.org/10.1016/j.chest.2023.08.015")</f>
        <v>http://dx.doi.org/10.1016/j.chest.2023.08.015</v>
      </c>
      <c r="K56" t="s">
        <v>248</v>
      </c>
      <c r="L56" t="s">
        <v>36</v>
      </c>
    </row>
    <row r="57" spans="1:12" x14ac:dyDescent="0.3">
      <c r="A57" t="s">
        <v>249</v>
      </c>
      <c r="B57" t="s">
        <v>250</v>
      </c>
      <c r="C57" t="s">
        <v>251</v>
      </c>
      <c r="D57" t="s">
        <v>35</v>
      </c>
      <c r="E57">
        <v>2024</v>
      </c>
      <c r="F57" s="5">
        <v>26</v>
      </c>
      <c r="G57" s="5">
        <v>2</v>
      </c>
      <c r="H57" s="5">
        <v>302</v>
      </c>
      <c r="I57" s="5">
        <v>310</v>
      </c>
      <c r="J57" t="str">
        <f>HYPERLINK("http://dx.doi.org/10.1002/ejhf.3115","http://dx.doi.org/10.1002/ejhf.3115")</f>
        <v>http://dx.doi.org/10.1002/ejhf.3115</v>
      </c>
      <c r="K57" t="s">
        <v>252</v>
      </c>
      <c r="L57" t="s">
        <v>36</v>
      </c>
    </row>
    <row r="58" spans="1:12" x14ac:dyDescent="0.3">
      <c r="A58" t="s">
        <v>253</v>
      </c>
      <c r="B58" t="s">
        <v>254</v>
      </c>
      <c r="C58" t="s">
        <v>255</v>
      </c>
      <c r="D58" t="s">
        <v>256</v>
      </c>
      <c r="E58">
        <v>2024</v>
      </c>
      <c r="F58" s="5">
        <v>10</v>
      </c>
      <c r="G58" s="5" t="s">
        <v>6</v>
      </c>
      <c r="H58" s="5" t="s">
        <v>6</v>
      </c>
      <c r="I58" s="5" t="s">
        <v>6</v>
      </c>
      <c r="J58" t="str">
        <f>HYPERLINK("http://dx.doi.org/10.3389/fmed.2023.1305954","http://dx.doi.org/10.3389/fmed.2023.1305954")</f>
        <v>http://dx.doi.org/10.3389/fmed.2023.1305954</v>
      </c>
      <c r="K58" t="s">
        <v>257</v>
      </c>
      <c r="L58" t="s">
        <v>36</v>
      </c>
    </row>
    <row r="59" spans="1:12" x14ac:dyDescent="0.3">
      <c r="A59" t="s">
        <v>258</v>
      </c>
      <c r="B59" t="s">
        <v>259</v>
      </c>
      <c r="C59" t="s">
        <v>190</v>
      </c>
      <c r="D59" t="s">
        <v>19</v>
      </c>
      <c r="E59">
        <v>2024</v>
      </c>
      <c r="F59" s="5">
        <v>131</v>
      </c>
      <c r="G59" s="5" t="s">
        <v>6</v>
      </c>
      <c r="H59" s="5" t="s">
        <v>6</v>
      </c>
      <c r="I59" s="5" t="s">
        <v>6</v>
      </c>
      <c r="J59" t="str">
        <f>HYPERLINK("http://dx.doi.org/10.1016/j.eneco.2024.107403","http://dx.doi.org/10.1016/j.eneco.2024.107403")</f>
        <v>http://dx.doi.org/10.1016/j.eneco.2024.107403</v>
      </c>
      <c r="K59" t="s">
        <v>260</v>
      </c>
      <c r="L59" t="s">
        <v>11</v>
      </c>
    </row>
    <row r="60" spans="1:12" x14ac:dyDescent="0.3">
      <c r="A60" t="s">
        <v>261</v>
      </c>
      <c r="B60" t="s">
        <v>262</v>
      </c>
      <c r="C60" t="s">
        <v>115</v>
      </c>
      <c r="D60" t="s">
        <v>105</v>
      </c>
      <c r="E60">
        <v>2024</v>
      </c>
      <c r="F60" s="5">
        <v>106</v>
      </c>
      <c r="G60" s="5" t="s">
        <v>6</v>
      </c>
      <c r="H60" s="5" t="s">
        <v>6</v>
      </c>
      <c r="I60" s="5" t="s">
        <v>6</v>
      </c>
      <c r="J60" t="str">
        <f>HYPERLINK("http://dx.doi.org/10.1016/j.inffus.2024.102301","http://dx.doi.org/10.1016/j.inffus.2024.102301")</f>
        <v>http://dx.doi.org/10.1016/j.inffus.2024.102301</v>
      </c>
      <c r="K60" t="s">
        <v>263</v>
      </c>
      <c r="L60" t="s">
        <v>36</v>
      </c>
    </row>
    <row r="61" spans="1:12" x14ac:dyDescent="0.3">
      <c r="A61" t="s">
        <v>264</v>
      </c>
      <c r="B61" t="s">
        <v>265</v>
      </c>
      <c r="C61" t="s">
        <v>266</v>
      </c>
      <c r="D61" t="s">
        <v>267</v>
      </c>
      <c r="E61">
        <v>2024</v>
      </c>
      <c r="F61" s="5">
        <v>47</v>
      </c>
      <c r="G61" s="5">
        <v>2</v>
      </c>
      <c r="H61" s="5" t="s">
        <v>6</v>
      </c>
      <c r="I61" s="5" t="s">
        <v>6</v>
      </c>
      <c r="J61" t="str">
        <f>HYPERLINK("http://dx.doi.org/10.3928/01477447-20230922-05","http://dx.doi.org/10.3928/01477447-20230922-05")</f>
        <v>http://dx.doi.org/10.3928/01477447-20230922-05</v>
      </c>
      <c r="K61" t="s">
        <v>268</v>
      </c>
      <c r="L61" t="s">
        <v>36</v>
      </c>
    </row>
    <row r="62" spans="1:12" x14ac:dyDescent="0.3">
      <c r="A62" t="s">
        <v>269</v>
      </c>
      <c r="B62" t="s">
        <v>270</v>
      </c>
      <c r="C62" t="s">
        <v>271</v>
      </c>
      <c r="D62" t="s">
        <v>35</v>
      </c>
      <c r="E62">
        <v>2025</v>
      </c>
      <c r="F62" s="5">
        <v>49</v>
      </c>
      <c r="G62" s="5">
        <v>2</v>
      </c>
      <c r="H62" s="5">
        <v>366</v>
      </c>
      <c r="I62" s="5">
        <v>385</v>
      </c>
      <c r="J62" t="str">
        <f>HYPERLINK("http://dx.doi.org/10.1177/10963480241229235","http://dx.doi.org/10.1177/10963480241229235")</f>
        <v>http://dx.doi.org/10.1177/10963480241229235</v>
      </c>
      <c r="K62" t="s">
        <v>272</v>
      </c>
      <c r="L62" t="s">
        <v>11</v>
      </c>
    </row>
    <row r="63" spans="1:12" x14ac:dyDescent="0.3">
      <c r="A63" t="s">
        <v>273</v>
      </c>
      <c r="B63" t="s">
        <v>274</v>
      </c>
      <c r="C63" t="s">
        <v>190</v>
      </c>
      <c r="D63" t="s">
        <v>19</v>
      </c>
      <c r="E63">
        <v>2024</v>
      </c>
      <c r="F63" s="5">
        <v>131</v>
      </c>
      <c r="G63" s="5" t="s">
        <v>6</v>
      </c>
      <c r="H63" s="5" t="s">
        <v>6</v>
      </c>
      <c r="I63" s="5" t="s">
        <v>6</v>
      </c>
      <c r="J63" t="str">
        <f>HYPERLINK("http://dx.doi.org/10.1016/j.eneco.2024.107355","http://dx.doi.org/10.1016/j.eneco.2024.107355")</f>
        <v>http://dx.doi.org/10.1016/j.eneco.2024.107355</v>
      </c>
      <c r="K63" t="s">
        <v>275</v>
      </c>
      <c r="L63" t="s">
        <v>11</v>
      </c>
    </row>
    <row r="64" spans="1:12" x14ac:dyDescent="0.3">
      <c r="A64" t="s">
        <v>276</v>
      </c>
      <c r="B64" t="s">
        <v>277</v>
      </c>
      <c r="C64" t="s">
        <v>190</v>
      </c>
      <c r="D64" t="s">
        <v>105</v>
      </c>
      <c r="E64">
        <v>2024</v>
      </c>
      <c r="F64" s="5">
        <v>134</v>
      </c>
      <c r="G64" s="5" t="s">
        <v>6</v>
      </c>
      <c r="H64" s="5" t="s">
        <v>6</v>
      </c>
      <c r="I64" s="5" t="s">
        <v>6</v>
      </c>
      <c r="J64" t="str">
        <f>HYPERLINK("http://dx.doi.org/10.1016/j.eneco.2024.107561","http://dx.doi.org/10.1016/j.eneco.2024.107561")</f>
        <v>http://dx.doi.org/10.1016/j.eneco.2024.107561</v>
      </c>
      <c r="K64" t="s">
        <v>278</v>
      </c>
      <c r="L64" t="s">
        <v>11</v>
      </c>
    </row>
    <row r="65" spans="1:12" x14ac:dyDescent="0.3">
      <c r="A65" t="s">
        <v>279</v>
      </c>
      <c r="B65" t="s">
        <v>280</v>
      </c>
      <c r="C65" t="s">
        <v>281</v>
      </c>
      <c r="D65" t="s">
        <v>19</v>
      </c>
      <c r="E65">
        <v>2024</v>
      </c>
      <c r="F65" s="5">
        <v>186</v>
      </c>
      <c r="G65" s="5" t="s">
        <v>6</v>
      </c>
      <c r="H65" s="5" t="s">
        <v>6</v>
      </c>
      <c r="I65" s="5" t="s">
        <v>6</v>
      </c>
      <c r="J65" t="str">
        <f>HYPERLINK("http://dx.doi.org/10.1016/j.enpol.2024.114010","http://dx.doi.org/10.1016/j.enpol.2024.114010")</f>
        <v>http://dx.doi.org/10.1016/j.enpol.2024.114010</v>
      </c>
      <c r="K65" t="s">
        <v>282</v>
      </c>
      <c r="L65" t="s">
        <v>106</v>
      </c>
    </row>
    <row r="66" spans="1:12" x14ac:dyDescent="0.3">
      <c r="A66" t="s">
        <v>283</v>
      </c>
      <c r="B66" t="s">
        <v>284</v>
      </c>
      <c r="C66" t="s">
        <v>190</v>
      </c>
      <c r="D66" t="s">
        <v>19</v>
      </c>
      <c r="E66">
        <v>2024</v>
      </c>
      <c r="F66" s="5">
        <v>131</v>
      </c>
      <c r="G66" s="5" t="s">
        <v>6</v>
      </c>
      <c r="H66" s="5" t="s">
        <v>6</v>
      </c>
      <c r="I66" s="5" t="s">
        <v>6</v>
      </c>
      <c r="J66" t="str">
        <f>HYPERLINK("http://dx.doi.org/10.1016/j.eneco.2024.107388","http://dx.doi.org/10.1016/j.eneco.2024.107388")</f>
        <v>http://dx.doi.org/10.1016/j.eneco.2024.107388</v>
      </c>
      <c r="K66" t="s">
        <v>285</v>
      </c>
      <c r="L66" t="s">
        <v>11</v>
      </c>
    </row>
    <row r="67" spans="1:12" x14ac:dyDescent="0.3">
      <c r="A67" t="s">
        <v>286</v>
      </c>
      <c r="B67" t="s">
        <v>287</v>
      </c>
      <c r="C67" t="s">
        <v>288</v>
      </c>
      <c r="D67" t="s">
        <v>289</v>
      </c>
      <c r="E67">
        <v>2024</v>
      </c>
      <c r="F67" s="5">
        <v>447</v>
      </c>
      <c r="G67" s="5" t="s">
        <v>6</v>
      </c>
      <c r="H67" s="5" t="s">
        <v>6</v>
      </c>
      <c r="I67" s="5" t="s">
        <v>6</v>
      </c>
      <c r="J67" t="str">
        <f>HYPERLINK("http://dx.doi.org/10.1016/j.jclepro.2024.141298","http://dx.doi.org/10.1016/j.jclepro.2024.141298")</f>
        <v>http://dx.doi.org/10.1016/j.jclepro.2024.141298</v>
      </c>
      <c r="K67" t="s">
        <v>290</v>
      </c>
      <c r="L67" t="s">
        <v>36</v>
      </c>
    </row>
    <row r="68" spans="1:12" x14ac:dyDescent="0.3">
      <c r="A68" t="s">
        <v>291</v>
      </c>
      <c r="B68" t="s">
        <v>292</v>
      </c>
      <c r="C68" t="s">
        <v>190</v>
      </c>
      <c r="D68" t="s">
        <v>19</v>
      </c>
      <c r="E68">
        <v>2024</v>
      </c>
      <c r="F68" s="5">
        <v>131</v>
      </c>
      <c r="G68" s="5" t="s">
        <v>6</v>
      </c>
      <c r="H68" s="5" t="s">
        <v>6</v>
      </c>
      <c r="I68" s="5" t="s">
        <v>6</v>
      </c>
      <c r="J68" t="str">
        <f>HYPERLINK("http://dx.doi.org/10.1016/j.eneco.2024.107392","http://dx.doi.org/10.1016/j.eneco.2024.107392")</f>
        <v>http://dx.doi.org/10.1016/j.eneco.2024.107392</v>
      </c>
      <c r="K68" t="s">
        <v>293</v>
      </c>
      <c r="L68" t="s">
        <v>11</v>
      </c>
    </row>
    <row r="69" spans="1:12" x14ac:dyDescent="0.3">
      <c r="A69" t="s">
        <v>294</v>
      </c>
      <c r="B69" t="s">
        <v>295</v>
      </c>
      <c r="C69" t="s">
        <v>296</v>
      </c>
      <c r="D69" t="s">
        <v>10</v>
      </c>
      <c r="E69">
        <v>2024</v>
      </c>
      <c r="F69" s="5">
        <v>33</v>
      </c>
      <c r="G69" s="5">
        <v>5</v>
      </c>
      <c r="H69" s="5">
        <v>4375</v>
      </c>
      <c r="I69" s="5">
        <v>4396</v>
      </c>
      <c r="J69" t="str">
        <f>HYPERLINK("http://dx.doi.org/10.1002/bse.3710","http://dx.doi.org/10.1002/bse.3710")</f>
        <v>http://dx.doi.org/10.1002/bse.3710</v>
      </c>
      <c r="K69" t="s">
        <v>297</v>
      </c>
      <c r="L69" t="s">
        <v>11</v>
      </c>
    </row>
    <row r="70" spans="1:12" x14ac:dyDescent="0.3">
      <c r="A70" t="s">
        <v>298</v>
      </c>
      <c r="B70" t="s">
        <v>299</v>
      </c>
      <c r="C70" t="s">
        <v>45</v>
      </c>
      <c r="D70" t="s">
        <v>19</v>
      </c>
      <c r="E70">
        <v>2024</v>
      </c>
      <c r="F70" s="5">
        <v>149</v>
      </c>
      <c r="G70" s="5" t="s">
        <v>6</v>
      </c>
      <c r="H70" s="5" t="s">
        <v>6</v>
      </c>
      <c r="I70" s="5" t="s">
        <v>6</v>
      </c>
      <c r="J70" t="str">
        <f>HYPERLINK("http://dx.doi.org/10.1016/j.artmed.2024.102779","http://dx.doi.org/10.1016/j.artmed.2024.102779")</f>
        <v>http://dx.doi.org/10.1016/j.artmed.2024.102779</v>
      </c>
      <c r="K70" t="s">
        <v>300</v>
      </c>
      <c r="L70" t="s">
        <v>36</v>
      </c>
    </row>
    <row r="71" spans="1:12" x14ac:dyDescent="0.3">
      <c r="A71" t="s">
        <v>301</v>
      </c>
      <c r="B71" t="s">
        <v>302</v>
      </c>
      <c r="C71" t="s">
        <v>303</v>
      </c>
      <c r="D71" t="s">
        <v>111</v>
      </c>
      <c r="E71">
        <v>2024</v>
      </c>
      <c r="F71" s="5">
        <v>44</v>
      </c>
      <c r="G71" s="5">
        <v>1</v>
      </c>
      <c r="H71" s="5">
        <v>94</v>
      </c>
      <c r="I71" s="5">
        <v>111</v>
      </c>
      <c r="J71" t="str">
        <f>HYPERLINK("http://dx.doi.org/10.1080/02188791.2024.2305155","http://dx.doi.org/10.1080/02188791.2024.2305155")</f>
        <v>http://dx.doi.org/10.1080/02188791.2024.2305155</v>
      </c>
      <c r="K71" t="s">
        <v>304</v>
      </c>
      <c r="L71" t="s">
        <v>11</v>
      </c>
    </row>
    <row r="72" spans="1:12" x14ac:dyDescent="0.3">
      <c r="A72" t="s">
        <v>305</v>
      </c>
      <c r="B72" t="s">
        <v>306</v>
      </c>
      <c r="C72" t="s">
        <v>110</v>
      </c>
      <c r="D72" t="s">
        <v>307</v>
      </c>
      <c r="E72">
        <v>2024</v>
      </c>
      <c r="F72" s="5">
        <v>36</v>
      </c>
      <c r="G72" s="5">
        <v>10</v>
      </c>
      <c r="H72" s="5">
        <v>3324</v>
      </c>
      <c r="I72" s="5">
        <v>3339</v>
      </c>
      <c r="J72" t="str">
        <f>HYPERLINK("http://dx.doi.org/10.1108/IJCHM-08-2023-1271","http://dx.doi.org/10.1108/IJCHM-08-2023-1271")</f>
        <v>http://dx.doi.org/10.1108/IJCHM-08-2023-1271</v>
      </c>
      <c r="K72" t="s">
        <v>308</v>
      </c>
      <c r="L72" t="s">
        <v>11</v>
      </c>
    </row>
    <row r="73" spans="1:12" x14ac:dyDescent="0.3">
      <c r="A73" t="s">
        <v>309</v>
      </c>
      <c r="B73" t="s">
        <v>310</v>
      </c>
      <c r="C73" t="s">
        <v>311</v>
      </c>
      <c r="D73" t="s">
        <v>19</v>
      </c>
      <c r="E73">
        <v>2024</v>
      </c>
      <c r="F73" s="5">
        <v>92</v>
      </c>
      <c r="G73" s="5" t="s">
        <v>6</v>
      </c>
      <c r="H73" s="5" t="s">
        <v>6</v>
      </c>
      <c r="I73" s="5" t="s">
        <v>6</v>
      </c>
      <c r="J73" t="str">
        <f>HYPERLINK("http://dx.doi.org/10.1016/j.irfa.2024.103073","http://dx.doi.org/10.1016/j.irfa.2024.103073")</f>
        <v>http://dx.doi.org/10.1016/j.irfa.2024.103073</v>
      </c>
      <c r="K73" t="s">
        <v>312</v>
      </c>
      <c r="L73" t="s">
        <v>11</v>
      </c>
    </row>
    <row r="74" spans="1:12" x14ac:dyDescent="0.3">
      <c r="A74" t="s">
        <v>313</v>
      </c>
      <c r="B74" t="s">
        <v>314</v>
      </c>
      <c r="C74" t="s">
        <v>315</v>
      </c>
      <c r="D74" t="s">
        <v>267</v>
      </c>
      <c r="E74">
        <v>2024</v>
      </c>
      <c r="F74" s="5">
        <v>64</v>
      </c>
      <c r="G74" s="5">
        <v>2</v>
      </c>
      <c r="H74" s="5" t="s">
        <v>6</v>
      </c>
      <c r="I74" s="5" t="s">
        <v>6</v>
      </c>
      <c r="J74" t="str">
        <f>HYPERLINK("http://dx.doi.org/10.1016/j.japh.2023.11.023","http://dx.doi.org/10.1016/j.japh.2023.11.023")</f>
        <v>http://dx.doi.org/10.1016/j.japh.2023.11.023</v>
      </c>
      <c r="K74" t="s">
        <v>316</v>
      </c>
      <c r="L74" t="s">
        <v>36</v>
      </c>
    </row>
    <row r="75" spans="1:12" x14ac:dyDescent="0.3">
      <c r="A75" t="s">
        <v>317</v>
      </c>
      <c r="B75" t="s">
        <v>318</v>
      </c>
      <c r="C75" t="s">
        <v>319</v>
      </c>
      <c r="D75" t="s">
        <v>19</v>
      </c>
      <c r="E75">
        <v>2024</v>
      </c>
      <c r="F75" s="5">
        <v>333</v>
      </c>
      <c r="G75" s="5" t="s">
        <v>6</v>
      </c>
      <c r="H75" s="5" t="s">
        <v>6</v>
      </c>
      <c r="I75" s="5" t="s">
        <v>6</v>
      </c>
      <c r="J75" t="str">
        <f>HYPERLINK("http://dx.doi.org/10.1016/j.psychres.2024.115724","http://dx.doi.org/10.1016/j.psychres.2024.115724")</f>
        <v>http://dx.doi.org/10.1016/j.psychres.2024.115724</v>
      </c>
      <c r="K75" t="s">
        <v>320</v>
      </c>
      <c r="L75" t="s">
        <v>106</v>
      </c>
    </row>
    <row r="76" spans="1:12" x14ac:dyDescent="0.3">
      <c r="A76" t="s">
        <v>321</v>
      </c>
      <c r="B76" t="s">
        <v>322</v>
      </c>
      <c r="C76" t="s">
        <v>323</v>
      </c>
      <c r="D76" t="s">
        <v>105</v>
      </c>
      <c r="E76">
        <v>2024</v>
      </c>
      <c r="F76" s="5">
        <v>77</v>
      </c>
      <c r="G76" s="5" t="s">
        <v>6</v>
      </c>
      <c r="H76" s="5" t="s">
        <v>6</v>
      </c>
      <c r="I76" s="5" t="s">
        <v>6</v>
      </c>
      <c r="J76" t="str">
        <f>HYPERLINK("http://dx.doi.org/10.1016/j.techsoc.2024.102537","http://dx.doi.org/10.1016/j.techsoc.2024.102537")</f>
        <v>http://dx.doi.org/10.1016/j.techsoc.2024.102537</v>
      </c>
      <c r="K76" t="s">
        <v>324</v>
      </c>
      <c r="L76" t="s">
        <v>11</v>
      </c>
    </row>
    <row r="77" spans="1:12" x14ac:dyDescent="0.3">
      <c r="A77" t="s">
        <v>325</v>
      </c>
      <c r="B77" t="s">
        <v>326</v>
      </c>
      <c r="C77" t="s">
        <v>23</v>
      </c>
      <c r="D77" t="s">
        <v>327</v>
      </c>
      <c r="E77">
        <v>2024</v>
      </c>
      <c r="F77" s="5">
        <v>11</v>
      </c>
      <c r="G77" s="5">
        <v>1</v>
      </c>
      <c r="H77" s="5" t="s">
        <v>6</v>
      </c>
      <c r="I77" s="5" t="s">
        <v>6</v>
      </c>
      <c r="J77" t="str">
        <f>HYPERLINK("http://dx.doi.org/10.1057/s41599-023-02464-6","http://dx.doi.org/10.1057/s41599-023-02464-6")</f>
        <v>http://dx.doi.org/10.1057/s41599-023-02464-6</v>
      </c>
      <c r="K77" t="s">
        <v>328</v>
      </c>
      <c r="L77" t="s">
        <v>25</v>
      </c>
    </row>
    <row r="78" spans="1:12" x14ac:dyDescent="0.3">
      <c r="A78" t="s">
        <v>329</v>
      </c>
      <c r="B78" t="s">
        <v>330</v>
      </c>
      <c r="C78" t="s">
        <v>331</v>
      </c>
      <c r="D78" t="s">
        <v>6</v>
      </c>
      <c r="E78">
        <v>2024</v>
      </c>
      <c r="F78" s="5">
        <v>11</v>
      </c>
      <c r="G78" s="5" t="s">
        <v>6</v>
      </c>
      <c r="H78" s="5" t="s">
        <v>6</v>
      </c>
      <c r="I78" s="5" t="s">
        <v>6</v>
      </c>
      <c r="J78" t="str">
        <f>HYPERLINK("http://dx.doi.org/10.2196/54781","http://dx.doi.org/10.2196/54781")</f>
        <v>http://dx.doi.org/10.2196/54781</v>
      </c>
      <c r="K78" t="s">
        <v>332</v>
      </c>
      <c r="L78" t="s">
        <v>36</v>
      </c>
    </row>
    <row r="79" spans="1:12" x14ac:dyDescent="0.3">
      <c r="A79" t="s">
        <v>333</v>
      </c>
      <c r="B79" t="s">
        <v>334</v>
      </c>
      <c r="C79" t="s">
        <v>335</v>
      </c>
      <c r="D79" t="s">
        <v>35</v>
      </c>
      <c r="E79">
        <v>2024</v>
      </c>
      <c r="F79" s="5">
        <v>141</v>
      </c>
      <c r="G79" s="5" t="s">
        <v>6</v>
      </c>
      <c r="H79" s="5" t="s">
        <v>6</v>
      </c>
      <c r="I79" s="5" t="s">
        <v>6</v>
      </c>
      <c r="J79" t="str">
        <f>HYPERLINK("http://dx.doi.org/10.1016/j.jdent.2023.104829","http://dx.doi.org/10.1016/j.jdent.2023.104829")</f>
        <v>http://dx.doi.org/10.1016/j.jdent.2023.104829</v>
      </c>
      <c r="K79" t="s">
        <v>336</v>
      </c>
      <c r="L79" t="s">
        <v>36</v>
      </c>
    </row>
    <row r="80" spans="1:12" x14ac:dyDescent="0.3">
      <c r="A80" t="s">
        <v>337</v>
      </c>
      <c r="B80" t="s">
        <v>338</v>
      </c>
      <c r="C80" t="s">
        <v>339</v>
      </c>
      <c r="D80" t="s">
        <v>77</v>
      </c>
      <c r="E80">
        <v>2024</v>
      </c>
      <c r="F80" s="5">
        <v>184</v>
      </c>
      <c r="G80" s="5" t="s">
        <v>6</v>
      </c>
      <c r="H80" s="5" t="s">
        <v>6</v>
      </c>
      <c r="I80" s="5" t="s">
        <v>6</v>
      </c>
      <c r="J80" t="str">
        <f>HYPERLINK("http://dx.doi.org/10.1016/j.tre.2024.103455","http://dx.doi.org/10.1016/j.tre.2024.103455")</f>
        <v>http://dx.doi.org/10.1016/j.tre.2024.103455</v>
      </c>
      <c r="K80" t="s">
        <v>340</v>
      </c>
      <c r="L80" t="s">
        <v>106</v>
      </c>
    </row>
    <row r="81" spans="1:12" x14ac:dyDescent="0.3">
      <c r="A81" t="s">
        <v>341</v>
      </c>
      <c r="B81" t="s">
        <v>342</v>
      </c>
      <c r="C81" t="s">
        <v>9</v>
      </c>
      <c r="D81" t="s">
        <v>19</v>
      </c>
      <c r="E81">
        <v>2024</v>
      </c>
      <c r="F81" s="5">
        <v>174</v>
      </c>
      <c r="G81" s="5" t="s">
        <v>6</v>
      </c>
      <c r="H81" s="5" t="s">
        <v>6</v>
      </c>
      <c r="I81" s="5" t="s">
        <v>6</v>
      </c>
      <c r="J81" t="str">
        <f>HYPERLINK("http://dx.doi.org/10.1016/j.jbusres.2024.114500","http://dx.doi.org/10.1016/j.jbusres.2024.114500")</f>
        <v>http://dx.doi.org/10.1016/j.jbusres.2024.114500</v>
      </c>
      <c r="K81" t="s">
        <v>343</v>
      </c>
      <c r="L81" t="s">
        <v>11</v>
      </c>
    </row>
    <row r="82" spans="1:12" x14ac:dyDescent="0.3">
      <c r="A82" t="s">
        <v>344</v>
      </c>
      <c r="B82" t="s">
        <v>345</v>
      </c>
      <c r="C82" t="s">
        <v>346</v>
      </c>
      <c r="D82" t="s">
        <v>347</v>
      </c>
      <c r="E82">
        <v>2024</v>
      </c>
      <c r="F82" s="5">
        <v>49</v>
      </c>
      <c r="G82" s="5">
        <v>5</v>
      </c>
      <c r="H82" s="5">
        <v>847</v>
      </c>
      <c r="I82" s="5">
        <v>864</v>
      </c>
      <c r="J82" t="str">
        <f>HYPERLINK("http://dx.doi.org/10.1080/03075079.2024.2323593","http://dx.doi.org/10.1080/03075079.2024.2323593")</f>
        <v>http://dx.doi.org/10.1080/03075079.2024.2323593</v>
      </c>
      <c r="K82" t="s">
        <v>348</v>
      </c>
      <c r="L82" t="s">
        <v>11</v>
      </c>
    </row>
    <row r="83" spans="1:12" x14ac:dyDescent="0.3">
      <c r="A83" t="s">
        <v>349</v>
      </c>
      <c r="B83" t="s">
        <v>350</v>
      </c>
      <c r="C83" t="s">
        <v>351</v>
      </c>
      <c r="D83" t="s">
        <v>35</v>
      </c>
      <c r="E83">
        <v>2024</v>
      </c>
      <c r="F83" s="5">
        <v>5</v>
      </c>
      <c r="G83" s="5">
        <v>2</v>
      </c>
      <c r="H83" s="5" t="s">
        <v>6</v>
      </c>
      <c r="I83" s="5" t="s">
        <v>6</v>
      </c>
      <c r="J83" t="str">
        <f>HYPERLINK("http://dx.doi.org/10.1038/s43018-023-00697-7","http://dx.doi.org/10.1038/s43018-023-00697-7")</f>
        <v>http://dx.doi.org/10.1038/s43018-023-00697-7</v>
      </c>
      <c r="K83" t="s">
        <v>352</v>
      </c>
      <c r="L83" t="s">
        <v>36</v>
      </c>
    </row>
    <row r="84" spans="1:12" x14ac:dyDescent="0.3">
      <c r="A84" t="s">
        <v>353</v>
      </c>
      <c r="B84" t="s">
        <v>354</v>
      </c>
      <c r="C84" t="s">
        <v>323</v>
      </c>
      <c r="D84" t="s">
        <v>105</v>
      </c>
      <c r="E84">
        <v>2024</v>
      </c>
      <c r="F84" s="5">
        <v>77</v>
      </c>
      <c r="G84" s="5" t="s">
        <v>6</v>
      </c>
      <c r="H84" s="5" t="s">
        <v>6</v>
      </c>
      <c r="I84" s="5" t="s">
        <v>6</v>
      </c>
      <c r="J84" t="str">
        <f>HYPERLINK("http://dx.doi.org/10.1016/j.techsoc.2024.102518","http://dx.doi.org/10.1016/j.techsoc.2024.102518")</f>
        <v>http://dx.doi.org/10.1016/j.techsoc.2024.102518</v>
      </c>
      <c r="K84" t="s">
        <v>355</v>
      </c>
      <c r="L84" t="s">
        <v>11</v>
      </c>
    </row>
    <row r="85" spans="1:12" x14ac:dyDescent="0.3">
      <c r="A85" t="s">
        <v>356</v>
      </c>
      <c r="B85" t="s">
        <v>357</v>
      </c>
      <c r="C85" t="s">
        <v>358</v>
      </c>
      <c r="D85" t="s">
        <v>359</v>
      </c>
      <c r="E85">
        <v>2024</v>
      </c>
      <c r="F85" s="5">
        <v>18</v>
      </c>
      <c r="G85" s="5">
        <v>4</v>
      </c>
      <c r="H85" s="5">
        <v>364</v>
      </c>
      <c r="I85" s="5">
        <v>379</v>
      </c>
      <c r="J85" t="str">
        <f>HYPERLINK("http://dx.doi.org/10.1080/17501229.2024.2309539","http://dx.doi.org/10.1080/17501229.2024.2309539")</f>
        <v>http://dx.doi.org/10.1080/17501229.2024.2309539</v>
      </c>
      <c r="K85" t="s">
        <v>360</v>
      </c>
      <c r="L85" t="s">
        <v>11</v>
      </c>
    </row>
    <row r="86" spans="1:12" x14ac:dyDescent="0.3">
      <c r="A86" t="s">
        <v>361</v>
      </c>
      <c r="B86" t="s">
        <v>362</v>
      </c>
      <c r="C86" t="s">
        <v>363</v>
      </c>
      <c r="D86" t="s">
        <v>77</v>
      </c>
      <c r="E86">
        <v>2024</v>
      </c>
      <c r="F86" s="5">
        <v>78</v>
      </c>
      <c r="G86" s="5" t="s">
        <v>6</v>
      </c>
      <c r="H86" s="5">
        <v>170</v>
      </c>
      <c r="I86" s="5">
        <v>175</v>
      </c>
      <c r="J86" t="str">
        <f>HYPERLINK("http://dx.doi.org/10.1016/j.ajem.2024.01.037","http://dx.doi.org/10.1016/j.ajem.2024.01.037")</f>
        <v>http://dx.doi.org/10.1016/j.ajem.2024.01.037</v>
      </c>
      <c r="K86" t="s">
        <v>364</v>
      </c>
      <c r="L86" t="s">
        <v>36</v>
      </c>
    </row>
    <row r="87" spans="1:12" x14ac:dyDescent="0.3">
      <c r="A87" t="s">
        <v>365</v>
      </c>
      <c r="B87" t="s">
        <v>366</v>
      </c>
      <c r="C87" t="s">
        <v>367</v>
      </c>
      <c r="D87" t="s">
        <v>19</v>
      </c>
      <c r="E87">
        <v>2024</v>
      </c>
      <c r="F87" s="5">
        <v>40</v>
      </c>
      <c r="G87" s="5">
        <v>3</v>
      </c>
      <c r="H87" s="5" t="s">
        <v>6</v>
      </c>
      <c r="I87" s="5" t="s">
        <v>6</v>
      </c>
      <c r="J87" t="str">
        <f>HYPERLINK("http://dx.doi.org/10.1016/j.arthro.2023.07.048","http://dx.doi.org/10.1016/j.arthro.2023.07.048")</f>
        <v>http://dx.doi.org/10.1016/j.arthro.2023.07.048</v>
      </c>
      <c r="K87" t="s">
        <v>368</v>
      </c>
      <c r="L87" t="s">
        <v>36</v>
      </c>
    </row>
    <row r="88" spans="1:12" x14ac:dyDescent="0.3">
      <c r="A88" t="s">
        <v>369</v>
      </c>
      <c r="B88" t="s">
        <v>370</v>
      </c>
      <c r="C88" t="s">
        <v>371</v>
      </c>
      <c r="D88" t="s">
        <v>372</v>
      </c>
      <c r="E88">
        <v>2024</v>
      </c>
      <c r="F88" s="5">
        <v>11</v>
      </c>
      <c r="G88" s="5">
        <v>1</v>
      </c>
      <c r="H88" s="5">
        <v>114</v>
      </c>
      <c r="I88" s="5">
        <v>124</v>
      </c>
      <c r="J88" t="str">
        <f>HYPERLINK("http://dx.doi.org/10.1109/JIOT.2023.3297834","http://dx.doi.org/10.1109/JIOT.2023.3297834")</f>
        <v>http://dx.doi.org/10.1109/JIOT.2023.3297834</v>
      </c>
      <c r="K88" t="s">
        <v>373</v>
      </c>
      <c r="L88" t="s">
        <v>36</v>
      </c>
    </row>
    <row r="89" spans="1:12" x14ac:dyDescent="0.3">
      <c r="A89" t="s">
        <v>374</v>
      </c>
      <c r="B89" t="s">
        <v>375</v>
      </c>
      <c r="C89" t="s">
        <v>376</v>
      </c>
      <c r="D89" t="s">
        <v>377</v>
      </c>
      <c r="E89">
        <v>2024</v>
      </c>
      <c r="F89" s="5">
        <v>62</v>
      </c>
      <c r="G89" s="5">
        <v>17</v>
      </c>
      <c r="H89" s="5">
        <v>6120</v>
      </c>
      <c r="I89" s="5">
        <v>6145</v>
      </c>
      <c r="J89" t="str">
        <f>HYPERLINK("http://dx.doi.org/10.1080/00207543.2024.2309309","http://dx.doi.org/10.1080/00207543.2024.2309309")</f>
        <v>http://dx.doi.org/10.1080/00207543.2024.2309309</v>
      </c>
      <c r="K89" t="s">
        <v>378</v>
      </c>
      <c r="L89" t="s">
        <v>36</v>
      </c>
    </row>
    <row r="90" spans="1:12" x14ac:dyDescent="0.3">
      <c r="A90" t="s">
        <v>379</v>
      </c>
      <c r="B90" t="s">
        <v>380</v>
      </c>
      <c r="C90" t="s">
        <v>381</v>
      </c>
      <c r="D90" t="s">
        <v>46</v>
      </c>
      <c r="E90">
        <v>2024</v>
      </c>
      <c r="F90" s="5">
        <v>38</v>
      </c>
      <c r="G90" s="5">
        <v>5</v>
      </c>
      <c r="H90" s="5">
        <v>2887</v>
      </c>
      <c r="I90" s="5">
        <v>2893</v>
      </c>
      <c r="J90" t="str">
        <f>HYPERLINK("http://dx.doi.org/10.1007/s00464-024-10739-5","http://dx.doi.org/10.1007/s00464-024-10739-5")</f>
        <v>http://dx.doi.org/10.1007/s00464-024-10739-5</v>
      </c>
      <c r="K90" t="s">
        <v>382</v>
      </c>
      <c r="L90" t="s">
        <v>36</v>
      </c>
    </row>
    <row r="91" spans="1:12" x14ac:dyDescent="0.3">
      <c r="A91" t="s">
        <v>383</v>
      </c>
      <c r="B91" t="s">
        <v>384</v>
      </c>
      <c r="C91" t="s">
        <v>385</v>
      </c>
      <c r="D91" t="s">
        <v>46</v>
      </c>
      <c r="E91">
        <v>2024</v>
      </c>
      <c r="F91" s="5">
        <v>78</v>
      </c>
      <c r="G91" s="5" t="s">
        <v>6</v>
      </c>
      <c r="H91" s="5" t="s">
        <v>6</v>
      </c>
      <c r="I91" s="5" t="s">
        <v>6</v>
      </c>
      <c r="J91" t="str">
        <f>HYPERLINK("http://dx.doi.org/10.1016/j.jretconser.2024.103777","http://dx.doi.org/10.1016/j.jretconser.2024.103777")</f>
        <v>http://dx.doi.org/10.1016/j.jretconser.2024.103777</v>
      </c>
      <c r="K91" t="s">
        <v>386</v>
      </c>
      <c r="L91" t="s">
        <v>11</v>
      </c>
    </row>
    <row r="92" spans="1:12" x14ac:dyDescent="0.3">
      <c r="A92" t="s">
        <v>387</v>
      </c>
      <c r="B92" t="s">
        <v>388</v>
      </c>
      <c r="C92" t="s">
        <v>389</v>
      </c>
      <c r="D92" t="s">
        <v>19</v>
      </c>
      <c r="E92">
        <v>2024</v>
      </c>
      <c r="F92" s="5">
        <v>61</v>
      </c>
      <c r="G92" s="5">
        <v>2</v>
      </c>
      <c r="H92" s="5" t="s">
        <v>6</v>
      </c>
      <c r="I92" s="5" t="s">
        <v>6</v>
      </c>
      <c r="J92" t="str">
        <f>HYPERLINK("http://dx.doi.org/10.1016/j.im.2024.103924","http://dx.doi.org/10.1016/j.im.2024.103924")</f>
        <v>http://dx.doi.org/10.1016/j.im.2024.103924</v>
      </c>
      <c r="K92" t="s">
        <v>390</v>
      </c>
      <c r="L92" t="s">
        <v>106</v>
      </c>
    </row>
    <row r="93" spans="1:12" x14ac:dyDescent="0.3">
      <c r="A93" t="s">
        <v>391</v>
      </c>
      <c r="B93" t="s">
        <v>392</v>
      </c>
      <c r="C93" t="s">
        <v>393</v>
      </c>
      <c r="D93" t="s">
        <v>394</v>
      </c>
      <c r="E93">
        <v>2024</v>
      </c>
      <c r="F93" s="5">
        <v>15</v>
      </c>
      <c r="G93" s="5">
        <v>1</v>
      </c>
      <c r="H93" s="5" t="s">
        <v>6</v>
      </c>
      <c r="I93" s="5" t="s">
        <v>6</v>
      </c>
      <c r="J93" t="str">
        <f>HYPERLINK("http://dx.doi.org/10.1038/s41467-023-44676-z","http://dx.doi.org/10.1038/s41467-023-44676-z")</f>
        <v>http://dx.doi.org/10.1038/s41467-023-44676-z</v>
      </c>
      <c r="K93" t="s">
        <v>395</v>
      </c>
      <c r="L93" t="s">
        <v>36</v>
      </c>
    </row>
    <row r="94" spans="1:12" x14ac:dyDescent="0.3">
      <c r="A94" t="s">
        <v>396</v>
      </c>
      <c r="B94" t="s">
        <v>397</v>
      </c>
      <c r="C94" t="s">
        <v>180</v>
      </c>
      <c r="D94" t="s">
        <v>398</v>
      </c>
      <c r="E94">
        <v>2024</v>
      </c>
      <c r="F94" s="5">
        <v>14</v>
      </c>
      <c r="G94" s="5">
        <v>1</v>
      </c>
      <c r="H94" s="5" t="s">
        <v>6</v>
      </c>
      <c r="I94" s="5" t="s">
        <v>6</v>
      </c>
      <c r="J94" t="str">
        <f>HYPERLINK("http://dx.doi.org/10.1038/s41598-024-53303-w","http://dx.doi.org/10.1038/s41598-024-53303-w")</f>
        <v>http://dx.doi.org/10.1038/s41598-024-53303-w</v>
      </c>
      <c r="K94" t="s">
        <v>399</v>
      </c>
      <c r="L94" t="s">
        <v>36</v>
      </c>
    </row>
    <row r="95" spans="1:12" x14ac:dyDescent="0.3">
      <c r="A95" t="s">
        <v>400</v>
      </c>
      <c r="B95" t="s">
        <v>401</v>
      </c>
      <c r="C95" t="s">
        <v>402</v>
      </c>
      <c r="D95" t="s">
        <v>403</v>
      </c>
      <c r="E95">
        <v>2024</v>
      </c>
      <c r="F95" s="5">
        <v>384</v>
      </c>
      <c r="G95" s="5" t="s">
        <v>6</v>
      </c>
      <c r="H95" s="5" t="s">
        <v>6</v>
      </c>
      <c r="I95" s="5" t="s">
        <v>6</v>
      </c>
      <c r="J95" t="str">
        <f>HYPERLINK("http://dx.doi.org/10.1136/bmj-2023-077192","http://dx.doi.org/10.1136/bmj-2023-077192")</f>
        <v>http://dx.doi.org/10.1136/bmj-2023-077192</v>
      </c>
      <c r="K95" t="s">
        <v>404</v>
      </c>
      <c r="L95" t="s">
        <v>36</v>
      </c>
    </row>
    <row r="96" spans="1:12" x14ac:dyDescent="0.3">
      <c r="A96" t="s">
        <v>405</v>
      </c>
      <c r="B96" t="s">
        <v>406</v>
      </c>
      <c r="C96" t="s">
        <v>407</v>
      </c>
      <c r="D96" t="s">
        <v>408</v>
      </c>
      <c r="E96">
        <v>2024</v>
      </c>
      <c r="F96" s="5" t="s">
        <v>6</v>
      </c>
      <c r="G96" s="5" t="s">
        <v>6</v>
      </c>
      <c r="H96" s="5" t="s">
        <v>6</v>
      </c>
      <c r="I96" s="5" t="s">
        <v>6</v>
      </c>
      <c r="J96" t="str">
        <f>HYPERLINK("http://dx.doi.org/10.1080/10630732.2023.2292823","http://dx.doi.org/10.1080/10630732.2023.2292823")</f>
        <v>http://dx.doi.org/10.1080/10630732.2023.2292823</v>
      </c>
      <c r="K96" t="s">
        <v>409</v>
      </c>
      <c r="L96" t="s">
        <v>11</v>
      </c>
    </row>
    <row r="97" spans="1:12" x14ac:dyDescent="0.3">
      <c r="A97" t="s">
        <v>410</v>
      </c>
      <c r="B97" t="s">
        <v>411</v>
      </c>
      <c r="C97" t="s">
        <v>412</v>
      </c>
      <c r="D97" t="s">
        <v>125</v>
      </c>
      <c r="E97">
        <v>2024</v>
      </c>
      <c r="F97" s="5">
        <v>30</v>
      </c>
      <c r="G97" s="5">
        <v>1</v>
      </c>
      <c r="H97" s="5" t="s">
        <v>6</v>
      </c>
      <c r="I97" s="5" t="s">
        <v>6</v>
      </c>
      <c r="J97" t="str">
        <f>HYPERLINK("http://dx.doi.org/10.3350/cmh.2023.0287","http://dx.doi.org/10.3350/cmh.2023.0287")</f>
        <v>http://dx.doi.org/10.3350/cmh.2023.0287</v>
      </c>
      <c r="K97" t="s">
        <v>413</v>
      </c>
      <c r="L97" t="s">
        <v>36</v>
      </c>
    </row>
    <row r="98" spans="1:12" x14ac:dyDescent="0.3">
      <c r="A98" t="s">
        <v>414</v>
      </c>
      <c r="B98" t="s">
        <v>415</v>
      </c>
      <c r="C98" t="s">
        <v>376</v>
      </c>
      <c r="D98" t="s">
        <v>416</v>
      </c>
      <c r="E98">
        <v>2024</v>
      </c>
      <c r="F98" s="5">
        <v>62</v>
      </c>
      <c r="G98" s="5">
        <v>16</v>
      </c>
      <c r="H98" s="5">
        <v>5676</v>
      </c>
      <c r="I98" s="5">
        <v>5696</v>
      </c>
      <c r="J98" t="str">
        <f>HYPERLINK("http://dx.doi.org/10.1080/00207543.2023.2294116","http://dx.doi.org/10.1080/00207543.2023.2294116")</f>
        <v>http://dx.doi.org/10.1080/00207543.2023.2294116</v>
      </c>
      <c r="K98" t="s">
        <v>417</v>
      </c>
      <c r="L98" t="s">
        <v>36</v>
      </c>
    </row>
    <row r="99" spans="1:12" x14ac:dyDescent="0.3">
      <c r="A99" t="s">
        <v>418</v>
      </c>
      <c r="B99" t="s">
        <v>419</v>
      </c>
      <c r="C99" t="s">
        <v>420</v>
      </c>
      <c r="D99" t="s">
        <v>6</v>
      </c>
      <c r="E99">
        <v>2024</v>
      </c>
      <c r="F99" s="5">
        <v>17</v>
      </c>
      <c r="G99" s="5" t="s">
        <v>6</v>
      </c>
      <c r="H99" s="5">
        <v>1069</v>
      </c>
      <c r="I99" s="5">
        <v>1081</v>
      </c>
      <c r="J99" t="str">
        <f>HYPERLINK("http://dx.doi.org/10.1109/TLT.2024.3355015","http://dx.doi.org/10.1109/TLT.2024.3355015")</f>
        <v>http://dx.doi.org/10.1109/TLT.2024.3355015</v>
      </c>
      <c r="K99" t="s">
        <v>421</v>
      </c>
      <c r="L99" t="s">
        <v>106</v>
      </c>
    </row>
    <row r="100" spans="1:12" x14ac:dyDescent="0.3">
      <c r="A100" t="s">
        <v>422</v>
      </c>
      <c r="B100" t="s">
        <v>423</v>
      </c>
      <c r="C100" t="s">
        <v>424</v>
      </c>
      <c r="D100" t="s">
        <v>425</v>
      </c>
      <c r="E100">
        <v>2024</v>
      </c>
      <c r="F100" s="5">
        <v>121</v>
      </c>
      <c r="G100" s="5">
        <v>14</v>
      </c>
      <c r="H100" s="5" t="s">
        <v>6</v>
      </c>
      <c r="I100" s="5" t="s">
        <v>6</v>
      </c>
      <c r="J100" t="str">
        <f>HYPERLINK("http://dx.doi.org/10.1073/pnas.2319112121","http://dx.doi.org/10.1073/pnas.2319112121")</f>
        <v>http://dx.doi.org/10.1073/pnas.2319112121</v>
      </c>
      <c r="K100" t="s">
        <v>426</v>
      </c>
      <c r="L100" t="s">
        <v>36</v>
      </c>
    </row>
    <row r="101" spans="1:12" x14ac:dyDescent="0.3">
      <c r="A101" t="s">
        <v>427</v>
      </c>
      <c r="B101" t="s">
        <v>428</v>
      </c>
      <c r="C101" t="s">
        <v>429</v>
      </c>
      <c r="D101" t="s">
        <v>35</v>
      </c>
      <c r="E101">
        <v>2024</v>
      </c>
      <c r="F101" s="5">
        <v>13</v>
      </c>
      <c r="G101" s="5">
        <v>3</v>
      </c>
      <c r="H101" s="5" t="s">
        <v>6</v>
      </c>
      <c r="I101" s="5" t="s">
        <v>6</v>
      </c>
      <c r="J101" t="str">
        <f>HYPERLINK("http://dx.doi.org/10.3390/jcm13030900","http://dx.doi.org/10.3390/jcm13030900")</f>
        <v>http://dx.doi.org/10.3390/jcm13030900</v>
      </c>
      <c r="K101" t="s">
        <v>430</v>
      </c>
      <c r="L101" t="s">
        <v>36</v>
      </c>
    </row>
    <row r="102" spans="1:12" x14ac:dyDescent="0.3">
      <c r="A102" t="s">
        <v>431</v>
      </c>
      <c r="B102" t="s">
        <v>432</v>
      </c>
      <c r="C102" t="s">
        <v>433</v>
      </c>
      <c r="D102" t="s">
        <v>434</v>
      </c>
      <c r="E102">
        <v>2024</v>
      </c>
      <c r="F102" s="5" t="s">
        <v>6</v>
      </c>
      <c r="G102" s="5" t="s">
        <v>6</v>
      </c>
      <c r="H102" s="5" t="s">
        <v>6</v>
      </c>
      <c r="I102" s="5" t="s">
        <v>6</v>
      </c>
      <c r="J102" t="str">
        <f>HYPERLINK("http://dx.doi.org/10.1080/09588221.2024.2310288","http://dx.doi.org/10.1080/09588221.2024.2310288")</f>
        <v>http://dx.doi.org/10.1080/09588221.2024.2310288</v>
      </c>
      <c r="K102" t="s">
        <v>435</v>
      </c>
      <c r="L102" t="s">
        <v>25</v>
      </c>
    </row>
    <row r="103" spans="1:12" x14ac:dyDescent="0.3">
      <c r="A103" t="s">
        <v>436</v>
      </c>
      <c r="B103" t="s">
        <v>437</v>
      </c>
      <c r="C103" t="s">
        <v>438</v>
      </c>
      <c r="D103" t="s">
        <v>439</v>
      </c>
      <c r="E103">
        <v>2024</v>
      </c>
      <c r="F103" s="5">
        <v>15</v>
      </c>
      <c r="G103" s="5">
        <v>2</v>
      </c>
      <c r="H103" s="5">
        <v>211</v>
      </c>
      <c r="I103" s="5">
        <v>231</v>
      </c>
      <c r="J103" t="str">
        <f>HYPERLINK("http://dx.doi.org/10.1108/JHTT-02-2022-0045","http://dx.doi.org/10.1108/JHTT-02-2022-0045")</f>
        <v>http://dx.doi.org/10.1108/JHTT-02-2022-0045</v>
      </c>
      <c r="K103" t="s">
        <v>440</v>
      </c>
      <c r="L103" t="s">
        <v>11</v>
      </c>
    </row>
    <row r="104" spans="1:12" x14ac:dyDescent="0.3">
      <c r="A104" t="s">
        <v>441</v>
      </c>
      <c r="B104" t="s">
        <v>442</v>
      </c>
      <c r="C104" t="s">
        <v>443</v>
      </c>
      <c r="D104" t="s">
        <v>111</v>
      </c>
      <c r="E104">
        <v>2025</v>
      </c>
      <c r="F104" s="5">
        <v>41</v>
      </c>
      <c r="G104" s="5">
        <v>1</v>
      </c>
      <c r="H104" s="5">
        <v>742</v>
      </c>
      <c r="I104" s="5">
        <v>764</v>
      </c>
      <c r="J104" t="str">
        <f>HYPERLINK("http://dx.doi.org/10.1080/10447318.2024.2323277","http://dx.doi.org/10.1080/10447318.2024.2323277")</f>
        <v>http://dx.doi.org/10.1080/10447318.2024.2323277</v>
      </c>
      <c r="K104" t="s">
        <v>444</v>
      </c>
      <c r="L104" t="s">
        <v>106</v>
      </c>
    </row>
    <row r="105" spans="1:12" x14ac:dyDescent="0.3">
      <c r="A105" t="s">
        <v>445</v>
      </c>
      <c r="B105" t="s">
        <v>446</v>
      </c>
      <c r="C105" t="s">
        <v>447</v>
      </c>
      <c r="D105" t="s">
        <v>448</v>
      </c>
      <c r="E105">
        <v>2024</v>
      </c>
      <c r="F105" s="5">
        <v>67</v>
      </c>
      <c r="G105" s="5">
        <v>5</v>
      </c>
      <c r="H105" s="5">
        <v>499</v>
      </c>
      <c r="I105" s="5">
        <v>510</v>
      </c>
      <c r="J105" t="str">
        <f>HYPERLINK("http://dx.doi.org/10.1016/j.bushor.2024.04.008","http://dx.doi.org/10.1016/j.bushor.2024.04.008")</f>
        <v>http://dx.doi.org/10.1016/j.bushor.2024.04.008</v>
      </c>
      <c r="K105" t="s">
        <v>449</v>
      </c>
      <c r="L105" t="s">
        <v>11</v>
      </c>
    </row>
    <row r="106" spans="1:12" x14ac:dyDescent="0.3">
      <c r="A106" t="s">
        <v>450</v>
      </c>
      <c r="B106" t="s">
        <v>451</v>
      </c>
      <c r="C106" t="s">
        <v>393</v>
      </c>
      <c r="D106" t="s">
        <v>452</v>
      </c>
      <c r="E106">
        <v>2024</v>
      </c>
      <c r="F106" s="5">
        <v>15</v>
      </c>
      <c r="G106" s="5">
        <v>1</v>
      </c>
      <c r="H106" s="5" t="s">
        <v>6</v>
      </c>
      <c r="I106" s="5" t="s">
        <v>6</v>
      </c>
      <c r="J106" t="str">
        <f>HYPERLINK("http://dx.doi.org/10.1038/s41467-023-44385-7","http://dx.doi.org/10.1038/s41467-023-44385-7")</f>
        <v>http://dx.doi.org/10.1038/s41467-023-44385-7</v>
      </c>
      <c r="K106" t="s">
        <v>453</v>
      </c>
      <c r="L106" t="s">
        <v>36</v>
      </c>
    </row>
    <row r="107" spans="1:12" x14ac:dyDescent="0.3">
      <c r="A107" t="s">
        <v>454</v>
      </c>
      <c r="B107" t="s">
        <v>455</v>
      </c>
      <c r="C107" t="s">
        <v>456</v>
      </c>
      <c r="D107" t="s">
        <v>96</v>
      </c>
      <c r="E107">
        <v>2024</v>
      </c>
      <c r="F107" s="5">
        <v>29</v>
      </c>
      <c r="G107" s="5">
        <v>12</v>
      </c>
      <c r="H107" s="5">
        <v>15403</v>
      </c>
      <c r="I107" s="5">
        <v>15439</v>
      </c>
      <c r="J107" t="str">
        <f>HYPERLINK("http://dx.doi.org/10.1007/s10639-023-12405-0","http://dx.doi.org/10.1007/s10639-023-12405-0")</f>
        <v>http://dx.doi.org/10.1007/s10639-023-12405-0</v>
      </c>
      <c r="K107" t="s">
        <v>457</v>
      </c>
      <c r="L107" t="s">
        <v>11</v>
      </c>
    </row>
    <row r="108" spans="1:12" x14ac:dyDescent="0.3">
      <c r="A108" t="s">
        <v>458</v>
      </c>
      <c r="B108" t="s">
        <v>459</v>
      </c>
      <c r="C108" t="s">
        <v>460</v>
      </c>
      <c r="D108" t="s">
        <v>46</v>
      </c>
      <c r="E108">
        <v>2024</v>
      </c>
      <c r="F108" s="5">
        <v>39</v>
      </c>
      <c r="G108" s="5">
        <v>5</v>
      </c>
      <c r="H108" s="5">
        <v>1184</v>
      </c>
      <c r="I108" s="5">
        <v>1190</v>
      </c>
      <c r="J108" t="str">
        <f>HYPERLINK("http://dx.doi.org/10.1016/j.arth.2024.01.029","http://dx.doi.org/10.1016/j.arth.2024.01.029")</f>
        <v>http://dx.doi.org/10.1016/j.arth.2024.01.029</v>
      </c>
      <c r="K108" t="s">
        <v>461</v>
      </c>
      <c r="L108" t="s">
        <v>36</v>
      </c>
    </row>
    <row r="109" spans="1:12" x14ac:dyDescent="0.3">
      <c r="A109" t="s">
        <v>462</v>
      </c>
      <c r="B109" t="s">
        <v>463</v>
      </c>
      <c r="C109" t="s">
        <v>464</v>
      </c>
      <c r="D109" t="s">
        <v>125</v>
      </c>
      <c r="E109">
        <v>2024</v>
      </c>
      <c r="F109" s="5">
        <v>12</v>
      </c>
      <c r="G109" s="5">
        <v>1</v>
      </c>
      <c r="H109" s="5" t="s">
        <v>6</v>
      </c>
      <c r="I109" s="5" t="s">
        <v>6</v>
      </c>
      <c r="J109" t="str">
        <f>HYPERLINK("http://dx.doi.org/10.3390/systems12010028","http://dx.doi.org/10.3390/systems12010028")</f>
        <v>http://dx.doi.org/10.3390/systems12010028</v>
      </c>
      <c r="K109" t="s">
        <v>465</v>
      </c>
      <c r="L109" t="s">
        <v>11</v>
      </c>
    </row>
    <row r="110" spans="1:12" x14ac:dyDescent="0.3">
      <c r="A110" t="s">
        <v>466</v>
      </c>
      <c r="B110" t="s">
        <v>467</v>
      </c>
      <c r="C110" t="s">
        <v>206</v>
      </c>
      <c r="D110" t="s">
        <v>96</v>
      </c>
      <c r="E110">
        <v>2024</v>
      </c>
      <c r="F110" s="5">
        <v>124</v>
      </c>
      <c r="G110" s="5" t="s">
        <v>6</v>
      </c>
      <c r="H110" s="5" t="s">
        <v>6</v>
      </c>
      <c r="I110" s="5" t="s">
        <v>6</v>
      </c>
      <c r="J110" t="str">
        <f>HYPERLINK("http://dx.doi.org/10.1016/j.system.2024.103341","http://dx.doi.org/10.1016/j.system.2024.103341")</f>
        <v>http://dx.doi.org/10.1016/j.system.2024.103341</v>
      </c>
      <c r="K110" t="s">
        <v>468</v>
      </c>
      <c r="L110" t="s">
        <v>11</v>
      </c>
    </row>
    <row r="111" spans="1:12" x14ac:dyDescent="0.3">
      <c r="A111" t="s">
        <v>469</v>
      </c>
      <c r="B111" t="s">
        <v>470</v>
      </c>
      <c r="C111" t="s">
        <v>288</v>
      </c>
      <c r="D111" t="s">
        <v>471</v>
      </c>
      <c r="E111">
        <v>2024</v>
      </c>
      <c r="F111" s="5">
        <v>446</v>
      </c>
      <c r="G111" s="5" t="s">
        <v>6</v>
      </c>
      <c r="H111" s="5" t="s">
        <v>6</v>
      </c>
      <c r="I111" s="5" t="s">
        <v>6</v>
      </c>
      <c r="J111" t="str">
        <f>HYPERLINK("http://dx.doi.org/10.1016/j.jclepro.2024.141142","http://dx.doi.org/10.1016/j.jclepro.2024.141142")</f>
        <v>http://dx.doi.org/10.1016/j.jclepro.2024.141142</v>
      </c>
      <c r="K111" t="s">
        <v>472</v>
      </c>
      <c r="L111" t="s">
        <v>36</v>
      </c>
    </row>
    <row r="112" spans="1:12" x14ac:dyDescent="0.3">
      <c r="A112" t="s">
        <v>473</v>
      </c>
      <c r="B112" t="s">
        <v>474</v>
      </c>
      <c r="C112" t="s">
        <v>475</v>
      </c>
      <c r="D112" t="s">
        <v>125</v>
      </c>
      <c r="E112">
        <v>2024</v>
      </c>
      <c r="F112" s="5">
        <v>27</v>
      </c>
      <c r="G112" s="5">
        <v>1</v>
      </c>
      <c r="H112" s="5" t="s">
        <v>6</v>
      </c>
      <c r="I112" s="5" t="s">
        <v>6</v>
      </c>
      <c r="J112" t="s">
        <v>927</v>
      </c>
      <c r="K112" t="s">
        <v>476</v>
      </c>
      <c r="L112" t="s">
        <v>11</v>
      </c>
    </row>
    <row r="113" spans="1:12" x14ac:dyDescent="0.3">
      <c r="A113" t="s">
        <v>477</v>
      </c>
      <c r="B113" t="s">
        <v>478</v>
      </c>
      <c r="C113" t="s">
        <v>479</v>
      </c>
      <c r="D113" t="s">
        <v>19</v>
      </c>
      <c r="E113">
        <v>2024</v>
      </c>
      <c r="F113" s="5">
        <v>76</v>
      </c>
      <c r="G113" s="5">
        <v>3</v>
      </c>
      <c r="H113" s="5">
        <v>479</v>
      </c>
      <c r="I113" s="5">
        <v>484</v>
      </c>
      <c r="J113" t="str">
        <f>HYPERLINK("http://dx.doi.org/10.1002/art.42737","http://dx.doi.org/10.1002/art.42737")</f>
        <v>http://dx.doi.org/10.1002/art.42737</v>
      </c>
      <c r="K113" t="s">
        <v>480</v>
      </c>
      <c r="L113" t="s">
        <v>36</v>
      </c>
    </row>
    <row r="114" spans="1:12" x14ac:dyDescent="0.3">
      <c r="A114" t="s">
        <v>481</v>
      </c>
      <c r="B114" t="s">
        <v>482</v>
      </c>
      <c r="C114" t="s">
        <v>483</v>
      </c>
      <c r="D114" t="s">
        <v>46</v>
      </c>
      <c r="E114">
        <v>2024</v>
      </c>
      <c r="F114" s="5">
        <v>80</v>
      </c>
      <c r="G114" s="5">
        <v>5</v>
      </c>
      <c r="H114" s="5">
        <v>729</v>
      </c>
      <c r="I114" s="5">
        <v>735</v>
      </c>
      <c r="J114" t="str">
        <f>HYPERLINK("http://dx.doi.org/10.1007/s00228-024-03649-x","http://dx.doi.org/10.1007/s00228-024-03649-x")</f>
        <v>http://dx.doi.org/10.1007/s00228-024-03649-x</v>
      </c>
      <c r="K114" t="s">
        <v>484</v>
      </c>
      <c r="L114" t="s">
        <v>36</v>
      </c>
    </row>
    <row r="115" spans="1:12" x14ac:dyDescent="0.3">
      <c r="A115" t="s">
        <v>485</v>
      </c>
      <c r="B115" t="s">
        <v>486</v>
      </c>
      <c r="C115" t="s">
        <v>487</v>
      </c>
      <c r="D115" t="s">
        <v>488</v>
      </c>
      <c r="E115">
        <v>2024</v>
      </c>
      <c r="F115" s="5" t="s">
        <v>6</v>
      </c>
      <c r="G115" s="5" t="s">
        <v>6</v>
      </c>
      <c r="H115" s="5" t="s">
        <v>6</v>
      </c>
      <c r="I115" s="5" t="s">
        <v>6</v>
      </c>
      <c r="J115" t="str">
        <f>HYPERLINK("http://dx.doi.org/10.1177/14614448241234040","http://dx.doi.org/10.1177/14614448241234040")</f>
        <v>http://dx.doi.org/10.1177/14614448241234040</v>
      </c>
      <c r="K115" t="s">
        <v>489</v>
      </c>
      <c r="L115" t="s">
        <v>11</v>
      </c>
    </row>
    <row r="116" spans="1:12" x14ac:dyDescent="0.3">
      <c r="A116" t="s">
        <v>490</v>
      </c>
      <c r="B116" t="s">
        <v>491</v>
      </c>
      <c r="C116" t="s">
        <v>288</v>
      </c>
      <c r="D116" t="s">
        <v>327</v>
      </c>
      <c r="E116">
        <v>2024</v>
      </c>
      <c r="F116" s="5">
        <v>437</v>
      </c>
      <c r="G116" s="5" t="s">
        <v>6</v>
      </c>
      <c r="H116" s="5" t="s">
        <v>6</v>
      </c>
      <c r="I116" s="5" t="s">
        <v>6</v>
      </c>
      <c r="J116" t="str">
        <f>HYPERLINK("http://dx.doi.org/10.1016/j.jclepro.2023.140527","http://dx.doi.org/10.1016/j.jclepro.2023.140527")</f>
        <v>http://dx.doi.org/10.1016/j.jclepro.2023.140527</v>
      </c>
      <c r="K116" t="s">
        <v>492</v>
      </c>
      <c r="L116" t="s">
        <v>36</v>
      </c>
    </row>
    <row r="117" spans="1:12" x14ac:dyDescent="0.3">
      <c r="A117" t="s">
        <v>493</v>
      </c>
      <c r="B117" t="s">
        <v>494</v>
      </c>
      <c r="C117" t="s">
        <v>201</v>
      </c>
      <c r="D117" t="s">
        <v>495</v>
      </c>
      <c r="E117">
        <v>2024</v>
      </c>
      <c r="F117" s="5">
        <v>10</v>
      </c>
      <c r="G117" s="5">
        <v>8</v>
      </c>
      <c r="H117" s="5" t="s">
        <v>6</v>
      </c>
      <c r="I117" s="5" t="s">
        <v>6</v>
      </c>
      <c r="J117" t="str">
        <f>HYPERLINK("http://dx.doi.org/10.1016/j.heliyon.2024.e29523","http://dx.doi.org/10.1016/j.heliyon.2024.e29523")</f>
        <v>http://dx.doi.org/10.1016/j.heliyon.2024.e29523</v>
      </c>
      <c r="K117" t="s">
        <v>496</v>
      </c>
      <c r="L117" t="s">
        <v>36</v>
      </c>
    </row>
    <row r="118" spans="1:12" x14ac:dyDescent="0.3">
      <c r="A118" t="s">
        <v>497</v>
      </c>
      <c r="B118" t="s">
        <v>498</v>
      </c>
      <c r="C118" t="s">
        <v>456</v>
      </c>
      <c r="D118" t="s">
        <v>499</v>
      </c>
      <c r="E118">
        <v>2024</v>
      </c>
      <c r="F118" s="5">
        <v>29</v>
      </c>
      <c r="G118" s="5">
        <v>13</v>
      </c>
      <c r="H118" s="5">
        <v>16125</v>
      </c>
      <c r="I118" s="5">
        <v>16156</v>
      </c>
      <c r="J118" t="str">
        <f>HYPERLINK("http://dx.doi.org/10.1007/s10639-024-12497-2","http://dx.doi.org/10.1007/s10639-024-12497-2")</f>
        <v>http://dx.doi.org/10.1007/s10639-024-12497-2</v>
      </c>
      <c r="K118" t="s">
        <v>500</v>
      </c>
      <c r="L118" t="s">
        <v>11</v>
      </c>
    </row>
    <row r="119" spans="1:12" x14ac:dyDescent="0.3">
      <c r="A119" t="s">
        <v>501</v>
      </c>
      <c r="B119" t="s">
        <v>502</v>
      </c>
      <c r="C119" t="s">
        <v>447</v>
      </c>
      <c r="D119" t="s">
        <v>448</v>
      </c>
      <c r="E119">
        <v>2024</v>
      </c>
      <c r="F119" s="5">
        <v>67</v>
      </c>
      <c r="G119" s="5">
        <v>5</v>
      </c>
      <c r="H119" s="5">
        <v>607</v>
      </c>
      <c r="I119" s="5">
        <v>614</v>
      </c>
      <c r="J119" t="str">
        <f>HYPERLINK("http://dx.doi.org/10.1016/j.bushor.2024.05.005","http://dx.doi.org/10.1016/j.bushor.2024.05.005")</f>
        <v>http://dx.doi.org/10.1016/j.bushor.2024.05.005</v>
      </c>
      <c r="K119" t="s">
        <v>503</v>
      </c>
      <c r="L119" t="s">
        <v>11</v>
      </c>
    </row>
    <row r="120" spans="1:12" x14ac:dyDescent="0.3">
      <c r="A120" t="s">
        <v>504</v>
      </c>
      <c r="B120" t="s">
        <v>505</v>
      </c>
      <c r="C120" t="s">
        <v>506</v>
      </c>
      <c r="D120" t="s">
        <v>125</v>
      </c>
      <c r="E120">
        <v>2024</v>
      </c>
      <c r="F120" s="5">
        <v>31</v>
      </c>
      <c r="G120" s="5" t="s">
        <v>6</v>
      </c>
      <c r="H120" s="5">
        <v>525</v>
      </c>
      <c r="I120" s="5">
        <v>548</v>
      </c>
      <c r="J120" t="str">
        <f>HYPERLINK("http://dx.doi.org/10.1016/j.bioactmat.2023.09.005","http://dx.doi.org/10.1016/j.bioactmat.2023.09.005")</f>
        <v>http://dx.doi.org/10.1016/j.bioactmat.2023.09.005</v>
      </c>
      <c r="K120" t="s">
        <v>507</v>
      </c>
      <c r="L120" t="s">
        <v>36</v>
      </c>
    </row>
    <row r="121" spans="1:12" x14ac:dyDescent="0.3">
      <c r="A121" t="s">
        <v>508</v>
      </c>
      <c r="B121" t="s">
        <v>509</v>
      </c>
      <c r="C121" t="s">
        <v>510</v>
      </c>
      <c r="D121" t="s">
        <v>511</v>
      </c>
      <c r="E121">
        <v>2024</v>
      </c>
      <c r="F121" s="5">
        <v>31</v>
      </c>
      <c r="G121" s="5">
        <v>6</v>
      </c>
      <c r="H121" s="5">
        <v>1356</v>
      </c>
      <c r="I121" s="5">
        <v>1366</v>
      </c>
      <c r="J121" t="str">
        <f>HYPERLINK("http://dx.doi.org/10.1093/jamia/ocae039","http://dx.doi.org/10.1093/jamia/ocae039")</f>
        <v>http://dx.doi.org/10.1093/jamia/ocae039</v>
      </c>
      <c r="K121" t="s">
        <v>512</v>
      </c>
      <c r="L121" t="s">
        <v>106</v>
      </c>
    </row>
    <row r="122" spans="1:12" x14ac:dyDescent="0.3">
      <c r="A122" t="s">
        <v>513</v>
      </c>
      <c r="B122" t="s">
        <v>514</v>
      </c>
      <c r="C122" t="s">
        <v>515</v>
      </c>
      <c r="D122" t="s">
        <v>35</v>
      </c>
      <c r="E122">
        <v>2024</v>
      </c>
      <c r="F122" s="5">
        <v>151</v>
      </c>
      <c r="G122" s="5" t="s">
        <v>6</v>
      </c>
      <c r="H122" s="5" t="s">
        <v>6</v>
      </c>
      <c r="I122" s="5" t="s">
        <v>6</v>
      </c>
      <c r="J122" t="str">
        <f>HYPERLINK("http://dx.doi.org/10.1016/j.icheatmasstransfer.2023.107238","http://dx.doi.org/10.1016/j.icheatmasstransfer.2023.107238")</f>
        <v>http://dx.doi.org/10.1016/j.icheatmasstransfer.2023.107238</v>
      </c>
      <c r="K122" t="s">
        <v>516</v>
      </c>
      <c r="L122" t="s">
        <v>36</v>
      </c>
    </row>
    <row r="123" spans="1:12" x14ac:dyDescent="0.3">
      <c r="A123" t="s">
        <v>517</v>
      </c>
      <c r="B123" t="s">
        <v>518</v>
      </c>
      <c r="C123" t="s">
        <v>456</v>
      </c>
      <c r="D123" t="s">
        <v>519</v>
      </c>
      <c r="E123">
        <v>2024</v>
      </c>
      <c r="F123" s="5" t="s">
        <v>6</v>
      </c>
      <c r="G123" s="5" t="s">
        <v>6</v>
      </c>
      <c r="H123" s="5" t="s">
        <v>6</v>
      </c>
      <c r="I123" s="5" t="s">
        <v>6</v>
      </c>
      <c r="J123" t="str">
        <f>HYPERLINK("http://dx.doi.org/10.1007/s10639-023-12402-3","http://dx.doi.org/10.1007/s10639-023-12402-3")</f>
        <v>http://dx.doi.org/10.1007/s10639-023-12402-3</v>
      </c>
      <c r="K123" t="s">
        <v>520</v>
      </c>
      <c r="L123" t="s">
        <v>11</v>
      </c>
    </row>
    <row r="124" spans="1:12" x14ac:dyDescent="0.3">
      <c r="A124" t="s">
        <v>521</v>
      </c>
      <c r="B124" t="s">
        <v>522</v>
      </c>
      <c r="C124" t="s">
        <v>523</v>
      </c>
      <c r="D124" t="s">
        <v>46</v>
      </c>
      <c r="E124">
        <v>2024</v>
      </c>
      <c r="F124" s="5">
        <v>199</v>
      </c>
      <c r="G124" s="5" t="s">
        <v>6</v>
      </c>
      <c r="H124" s="5" t="s">
        <v>6</v>
      </c>
      <c r="I124" s="5" t="s">
        <v>6</v>
      </c>
      <c r="J124" t="str">
        <f>HYPERLINK("http://dx.doi.org/10.1016/j.aap.2024.107517","http://dx.doi.org/10.1016/j.aap.2024.107517")</f>
        <v>http://dx.doi.org/10.1016/j.aap.2024.107517</v>
      </c>
      <c r="K124" t="s">
        <v>524</v>
      </c>
      <c r="L124" t="s">
        <v>11</v>
      </c>
    </row>
    <row r="125" spans="1:12" x14ac:dyDescent="0.3">
      <c r="A125" t="s">
        <v>525</v>
      </c>
      <c r="B125" t="s">
        <v>526</v>
      </c>
      <c r="C125" t="s">
        <v>443</v>
      </c>
      <c r="D125" t="s">
        <v>111</v>
      </c>
      <c r="E125">
        <v>2025</v>
      </c>
      <c r="F125" s="5">
        <v>41</v>
      </c>
      <c r="G125" s="5">
        <v>1</v>
      </c>
      <c r="H125" s="5">
        <v>651</v>
      </c>
      <c r="I125" s="5">
        <v>663</v>
      </c>
      <c r="J125" t="str">
        <f>HYPERLINK("http://dx.doi.org/10.1080/10447318.2024.2311971","http://dx.doi.org/10.1080/10447318.2024.2311971")</f>
        <v>http://dx.doi.org/10.1080/10447318.2024.2311971</v>
      </c>
      <c r="K125" t="s">
        <v>527</v>
      </c>
      <c r="L125" t="s">
        <v>106</v>
      </c>
    </row>
    <row r="126" spans="1:12" x14ac:dyDescent="0.3">
      <c r="A126" t="s">
        <v>528</v>
      </c>
      <c r="B126" t="s">
        <v>529</v>
      </c>
      <c r="C126" t="s">
        <v>530</v>
      </c>
      <c r="D126" t="s">
        <v>531</v>
      </c>
      <c r="E126">
        <v>2024</v>
      </c>
      <c r="F126" s="5">
        <v>634</v>
      </c>
      <c r="G126" s="5">
        <v>8033</v>
      </c>
      <c r="H126" s="5" t="s">
        <v>6</v>
      </c>
      <c r="I126" s="5" t="s">
        <v>6</v>
      </c>
      <c r="J126" t="str">
        <f>HYPERLINK("http://dx.doi.org/10.1038/s41586-024-07618-3","http://dx.doi.org/10.1038/s41586-024-07618-3")</f>
        <v>http://dx.doi.org/10.1038/s41586-024-07618-3</v>
      </c>
      <c r="K126" t="s">
        <v>532</v>
      </c>
      <c r="L126" t="s">
        <v>36</v>
      </c>
    </row>
    <row r="127" spans="1:12" x14ac:dyDescent="0.3">
      <c r="A127" t="s">
        <v>533</v>
      </c>
      <c r="B127" t="s">
        <v>534</v>
      </c>
      <c r="C127" t="s">
        <v>180</v>
      </c>
      <c r="D127" t="s">
        <v>535</v>
      </c>
      <c r="E127">
        <v>2024</v>
      </c>
      <c r="F127" s="5">
        <v>14</v>
      </c>
      <c r="G127" s="5">
        <v>1</v>
      </c>
      <c r="H127" s="5" t="s">
        <v>6</v>
      </c>
      <c r="I127" s="5" t="s">
        <v>6</v>
      </c>
      <c r="J127" t="str">
        <f>HYPERLINK("http://dx.doi.org/10.1038/s41598-024-53335-2","http://dx.doi.org/10.1038/s41598-024-53335-2")</f>
        <v>http://dx.doi.org/10.1038/s41598-024-53335-2</v>
      </c>
      <c r="K127" t="s">
        <v>536</v>
      </c>
      <c r="L127" t="s">
        <v>36</v>
      </c>
    </row>
    <row r="128" spans="1:12" x14ac:dyDescent="0.3">
      <c r="A128" t="s">
        <v>537</v>
      </c>
      <c r="B128" t="s">
        <v>538</v>
      </c>
      <c r="C128" t="s">
        <v>539</v>
      </c>
      <c r="D128" t="s">
        <v>499</v>
      </c>
      <c r="E128">
        <v>2024</v>
      </c>
      <c r="F128" s="5">
        <v>88</v>
      </c>
      <c r="G128" s="5">
        <v>5</v>
      </c>
      <c r="H128" s="5">
        <v>1</v>
      </c>
      <c r="I128" s="5">
        <v>23</v>
      </c>
      <c r="J128" t="str">
        <f>HYPERLINK("http://dx.doi.org/10.1177/00222429231224748","http://dx.doi.org/10.1177/00222429231224748")</f>
        <v>http://dx.doi.org/10.1177/00222429231224748</v>
      </c>
      <c r="K128" t="s">
        <v>540</v>
      </c>
      <c r="L128" t="s">
        <v>11</v>
      </c>
    </row>
    <row r="129" spans="1:12" x14ac:dyDescent="0.3">
      <c r="A129" t="s">
        <v>541</v>
      </c>
      <c r="B129" t="s">
        <v>542</v>
      </c>
      <c r="C129" t="s">
        <v>543</v>
      </c>
      <c r="D129" t="s">
        <v>544</v>
      </c>
      <c r="E129">
        <v>2024</v>
      </c>
      <c r="F129" s="5">
        <v>50</v>
      </c>
      <c r="G129" s="5">
        <v>12</v>
      </c>
      <c r="H129" s="5">
        <v>811</v>
      </c>
      <c r="I129" s="5">
        <v>817</v>
      </c>
      <c r="J129" t="str">
        <f>HYPERLINK("http://dx.doi.org/10.1136/jme-2023-109702","http://dx.doi.org/10.1136/jme-2023-109702")</f>
        <v>http://dx.doi.org/10.1136/jme-2023-109702</v>
      </c>
      <c r="K129" t="s">
        <v>545</v>
      </c>
      <c r="L129" t="s">
        <v>106</v>
      </c>
    </row>
    <row r="130" spans="1:12" x14ac:dyDescent="0.3">
      <c r="A130" t="s">
        <v>546</v>
      </c>
      <c r="B130" t="s">
        <v>547</v>
      </c>
      <c r="C130" t="s">
        <v>548</v>
      </c>
      <c r="D130" t="s">
        <v>549</v>
      </c>
      <c r="E130">
        <v>2024</v>
      </c>
      <c r="F130" s="5">
        <v>16</v>
      </c>
      <c r="G130" s="5">
        <v>1</v>
      </c>
      <c r="H130" s="5" t="s">
        <v>6</v>
      </c>
      <c r="I130" s="5" t="s">
        <v>6</v>
      </c>
      <c r="J130" t="str">
        <f>HYPERLINK("http://dx.doi.org/10.1186/s13321-024-00812-5","http://dx.doi.org/10.1186/s13321-024-00812-5")</f>
        <v>http://dx.doi.org/10.1186/s13321-024-00812-5</v>
      </c>
      <c r="K130" t="s">
        <v>550</v>
      </c>
      <c r="L130" t="s">
        <v>36</v>
      </c>
    </row>
    <row r="131" spans="1:12" x14ac:dyDescent="0.3">
      <c r="A131" t="s">
        <v>551</v>
      </c>
      <c r="B131" t="s">
        <v>552</v>
      </c>
      <c r="C131" t="s">
        <v>530</v>
      </c>
      <c r="D131" t="s">
        <v>553</v>
      </c>
      <c r="E131">
        <v>2024</v>
      </c>
      <c r="F131" s="5">
        <v>631</v>
      </c>
      <c r="G131" s="5">
        <v>8022</v>
      </c>
      <c r="H131" s="5" t="s">
        <v>6</v>
      </c>
      <c r="I131" s="5" t="s">
        <v>6</v>
      </c>
      <c r="J131" t="str">
        <f>HYPERLINK("http://dx.doi.org/10.1038/s41586-024-07566-y","http://dx.doi.org/10.1038/s41586-024-07566-y")</f>
        <v>http://dx.doi.org/10.1038/s41586-024-07566-y</v>
      </c>
      <c r="K131" t="s">
        <v>554</v>
      </c>
      <c r="L131" t="s">
        <v>36</v>
      </c>
    </row>
    <row r="132" spans="1:12" x14ac:dyDescent="0.3">
      <c r="A132" t="s">
        <v>555</v>
      </c>
      <c r="B132" t="s">
        <v>556</v>
      </c>
      <c r="C132" t="s">
        <v>557</v>
      </c>
      <c r="D132" t="s">
        <v>558</v>
      </c>
      <c r="E132">
        <v>2024</v>
      </c>
      <c r="F132" s="5">
        <v>351</v>
      </c>
      <c r="G132" s="5" t="s">
        <v>6</v>
      </c>
      <c r="H132" s="5" t="s">
        <v>6</v>
      </c>
      <c r="I132" s="5" t="s">
        <v>6</v>
      </c>
      <c r="J132" t="str">
        <f>HYPERLINK("http://dx.doi.org/10.1016/j.seppur.2024.128107","http://dx.doi.org/10.1016/j.seppur.2024.128107")</f>
        <v>http://dx.doi.org/10.1016/j.seppur.2024.128107</v>
      </c>
      <c r="K132" t="s">
        <v>559</v>
      </c>
      <c r="L132" t="s">
        <v>36</v>
      </c>
    </row>
    <row r="133" spans="1:12" x14ac:dyDescent="0.3">
      <c r="A133" t="s">
        <v>560</v>
      </c>
      <c r="B133" t="s">
        <v>561</v>
      </c>
      <c r="C133" t="s">
        <v>562</v>
      </c>
      <c r="D133" t="s">
        <v>19</v>
      </c>
      <c r="E133">
        <v>2024</v>
      </c>
      <c r="F133" s="5">
        <v>15</v>
      </c>
      <c r="G133" s="5">
        <v>1</v>
      </c>
      <c r="H133" s="5">
        <v>95</v>
      </c>
      <c r="I133" s="5">
        <v>143</v>
      </c>
      <c r="J133" t="str">
        <f>HYPERLINK("http://dx.doi.org/10.24136/oc.2814","http://dx.doi.org/10.24136/oc.2814")</f>
        <v>http://dx.doi.org/10.24136/oc.2814</v>
      </c>
      <c r="K133" t="s">
        <v>563</v>
      </c>
      <c r="L133" t="s">
        <v>11</v>
      </c>
    </row>
    <row r="134" spans="1:12" x14ac:dyDescent="0.3">
      <c r="A134" t="s">
        <v>564</v>
      </c>
      <c r="B134" t="s">
        <v>565</v>
      </c>
      <c r="C134" t="s">
        <v>566</v>
      </c>
      <c r="D134" t="s">
        <v>19</v>
      </c>
      <c r="E134">
        <v>2024</v>
      </c>
      <c r="F134" s="5">
        <v>38</v>
      </c>
      <c r="G134" s="5">
        <v>2</v>
      </c>
      <c r="H134" s="5">
        <v>186</v>
      </c>
      <c r="I134" s="5">
        <v>192</v>
      </c>
      <c r="J134" t="str">
        <f>HYPERLINK("http://dx.doi.org/10.1109/MNET.131.2200477","http://dx.doi.org/10.1109/MNET.131.2200477")</f>
        <v>http://dx.doi.org/10.1109/MNET.131.2200477</v>
      </c>
      <c r="K134" t="s">
        <v>567</v>
      </c>
      <c r="L134" t="s">
        <v>36</v>
      </c>
    </row>
    <row r="135" spans="1:12" x14ac:dyDescent="0.3">
      <c r="A135" t="s">
        <v>568</v>
      </c>
      <c r="B135" t="s">
        <v>569</v>
      </c>
      <c r="C135" t="s">
        <v>570</v>
      </c>
      <c r="D135" t="s">
        <v>544</v>
      </c>
      <c r="E135">
        <v>2024</v>
      </c>
      <c r="F135" s="5">
        <v>44</v>
      </c>
      <c r="G135" s="5">
        <v>4</v>
      </c>
      <c r="H135" s="5">
        <v>870</v>
      </c>
      <c r="I135" s="5">
        <v>882</v>
      </c>
      <c r="J135" t="str">
        <f>HYPERLINK("http://dx.doi.org/10.1177/02761467241254450","http://dx.doi.org/10.1177/02761467241254450")</f>
        <v>http://dx.doi.org/10.1177/02761467241254450</v>
      </c>
      <c r="K135" t="s">
        <v>571</v>
      </c>
      <c r="L135" t="s">
        <v>11</v>
      </c>
    </row>
    <row r="136" spans="1:12" x14ac:dyDescent="0.3">
      <c r="A136" t="s">
        <v>572</v>
      </c>
      <c r="B136" t="s">
        <v>573</v>
      </c>
      <c r="C136" t="s">
        <v>180</v>
      </c>
      <c r="D136" t="s">
        <v>59</v>
      </c>
      <c r="E136">
        <v>2024</v>
      </c>
      <c r="F136" s="5">
        <v>14</v>
      </c>
      <c r="G136" s="5">
        <v>1</v>
      </c>
      <c r="H136" s="5" t="s">
        <v>6</v>
      </c>
      <c r="I136" s="5" t="s">
        <v>6</v>
      </c>
      <c r="J136" t="str">
        <f>HYPERLINK("http://dx.doi.org/10.1038/s41598-024-53755-0","http://dx.doi.org/10.1038/s41598-024-53755-0")</f>
        <v>http://dx.doi.org/10.1038/s41598-024-53755-0</v>
      </c>
      <c r="K136" t="s">
        <v>574</v>
      </c>
      <c r="L136" t="s">
        <v>36</v>
      </c>
    </row>
    <row r="137" spans="1:12" x14ac:dyDescent="0.3">
      <c r="A137" t="s">
        <v>575</v>
      </c>
      <c r="B137" t="s">
        <v>576</v>
      </c>
      <c r="C137" t="s">
        <v>577</v>
      </c>
      <c r="D137" t="s">
        <v>125</v>
      </c>
      <c r="E137">
        <v>2024</v>
      </c>
      <c r="F137" s="5">
        <v>31</v>
      </c>
      <c r="G137" s="5">
        <v>1</v>
      </c>
      <c r="H137" s="5">
        <v>338</v>
      </c>
      <c r="I137" s="5">
        <v>342</v>
      </c>
      <c r="J137" t="str">
        <f>HYPERLINK("http://dx.doi.org/10.1016/j.acra.2023.08.020","http://dx.doi.org/10.1016/j.acra.2023.08.020")</f>
        <v>http://dx.doi.org/10.1016/j.acra.2023.08.020</v>
      </c>
      <c r="K137" t="s">
        <v>578</v>
      </c>
      <c r="L137" t="s">
        <v>36</v>
      </c>
    </row>
    <row r="138" spans="1:12" x14ac:dyDescent="0.3">
      <c r="A138" t="s">
        <v>579</v>
      </c>
      <c r="B138" t="s">
        <v>580</v>
      </c>
      <c r="C138" t="s">
        <v>23</v>
      </c>
      <c r="D138" t="s">
        <v>581</v>
      </c>
      <c r="E138">
        <v>2024</v>
      </c>
      <c r="F138" s="5">
        <v>11</v>
      </c>
      <c r="G138" s="5">
        <v>1</v>
      </c>
      <c r="H138" s="5" t="s">
        <v>6</v>
      </c>
      <c r="I138" s="5" t="s">
        <v>6</v>
      </c>
      <c r="J138" t="str">
        <f>HYPERLINK("http://dx.doi.org/10.1057/s41599-024-02894-w","http://dx.doi.org/10.1057/s41599-024-02894-w")</f>
        <v>http://dx.doi.org/10.1057/s41599-024-02894-w</v>
      </c>
      <c r="K138" t="s">
        <v>582</v>
      </c>
      <c r="L138" t="s">
        <v>25</v>
      </c>
    </row>
    <row r="139" spans="1:12" x14ac:dyDescent="0.3">
      <c r="A139" t="s">
        <v>583</v>
      </c>
      <c r="B139" t="s">
        <v>584</v>
      </c>
      <c r="C139" t="s">
        <v>585</v>
      </c>
      <c r="D139" t="s">
        <v>105</v>
      </c>
      <c r="E139">
        <v>2024</v>
      </c>
      <c r="F139" s="5">
        <v>80</v>
      </c>
      <c r="G139" s="5">
        <v>6</v>
      </c>
      <c r="H139" s="5">
        <v>977</v>
      </c>
      <c r="I139" s="5">
        <v>980</v>
      </c>
      <c r="J139" t="str">
        <f>HYPERLINK("http://dx.doi.org/10.1016/j.jhep.2023.07.028","http://dx.doi.org/10.1016/j.jhep.2023.07.028")</f>
        <v>http://dx.doi.org/10.1016/j.jhep.2023.07.028</v>
      </c>
      <c r="K139" t="s">
        <v>586</v>
      </c>
      <c r="L139" t="s">
        <v>36</v>
      </c>
    </row>
    <row r="140" spans="1:12" x14ac:dyDescent="0.3">
      <c r="A140" t="s">
        <v>587</v>
      </c>
      <c r="B140" t="s">
        <v>588</v>
      </c>
      <c r="C140" t="s">
        <v>589</v>
      </c>
      <c r="D140" t="s">
        <v>590</v>
      </c>
      <c r="E140">
        <v>2024</v>
      </c>
      <c r="F140" s="5">
        <v>53</v>
      </c>
      <c r="G140" s="5">
        <v>1</v>
      </c>
      <c r="H140" s="5" t="s">
        <v>6</v>
      </c>
      <c r="I140" s="5" t="s">
        <v>6</v>
      </c>
      <c r="J140" t="str">
        <f>HYPERLINK("http://dx.doi.org/10.1016/j.orgdyn.2024.101029","http://dx.doi.org/10.1016/j.orgdyn.2024.101029")</f>
        <v>http://dx.doi.org/10.1016/j.orgdyn.2024.101029</v>
      </c>
      <c r="K140" t="s">
        <v>591</v>
      </c>
      <c r="L140" t="s">
        <v>11</v>
      </c>
    </row>
    <row r="141" spans="1:12" x14ac:dyDescent="0.3">
      <c r="A141" t="s">
        <v>592</v>
      </c>
      <c r="B141" t="s">
        <v>593</v>
      </c>
      <c r="C141" t="s">
        <v>58</v>
      </c>
      <c r="D141" t="s">
        <v>594</v>
      </c>
      <c r="E141">
        <v>2024</v>
      </c>
      <c r="F141" s="5">
        <v>21</v>
      </c>
      <c r="G141" s="5">
        <v>1</v>
      </c>
      <c r="H141" s="5" t="s">
        <v>6</v>
      </c>
      <c r="I141" s="5" t="s">
        <v>6</v>
      </c>
      <c r="J141" t="str">
        <f>HYPERLINK("http://dx.doi.org/10.1186/s41239-024-00455-4","http://dx.doi.org/10.1186/s41239-024-00455-4")</f>
        <v>http://dx.doi.org/10.1186/s41239-024-00455-4</v>
      </c>
      <c r="K141" t="s">
        <v>595</v>
      </c>
      <c r="L141" t="s">
        <v>11</v>
      </c>
    </row>
    <row r="142" spans="1:12" x14ac:dyDescent="0.3">
      <c r="A142" t="s">
        <v>596</v>
      </c>
      <c r="B142" t="s">
        <v>597</v>
      </c>
      <c r="C142" t="s">
        <v>598</v>
      </c>
      <c r="D142" t="s">
        <v>19</v>
      </c>
      <c r="E142">
        <v>2024</v>
      </c>
      <c r="F142" s="5">
        <v>16</v>
      </c>
      <c r="G142" s="5">
        <v>5</v>
      </c>
      <c r="H142" s="5" t="s">
        <v>6</v>
      </c>
      <c r="I142" s="5" t="s">
        <v>6</v>
      </c>
      <c r="J142" t="str">
        <f>HYPERLINK("http://dx.doi.org/10.3390/su16051790","http://dx.doi.org/10.3390/su16051790")</f>
        <v>http://dx.doi.org/10.3390/su16051790</v>
      </c>
      <c r="K142" t="s">
        <v>599</v>
      </c>
      <c r="L142" t="s">
        <v>106</v>
      </c>
    </row>
    <row r="143" spans="1:12" x14ac:dyDescent="0.3">
      <c r="A143" t="s">
        <v>600</v>
      </c>
      <c r="B143" t="s">
        <v>601</v>
      </c>
      <c r="C143" t="s">
        <v>602</v>
      </c>
      <c r="D143" t="s">
        <v>46</v>
      </c>
      <c r="E143">
        <v>2024</v>
      </c>
      <c r="F143" s="5">
        <v>34</v>
      </c>
      <c r="G143" s="5">
        <v>2</v>
      </c>
      <c r="H143" s="5">
        <v>197</v>
      </c>
      <c r="I143" s="5">
        <v>207</v>
      </c>
      <c r="J143" t="str">
        <f>HYPERLINK("http://dx.doi.org/10.1016/j.zemedi.2023.05.001","http://dx.doi.org/10.1016/j.zemedi.2023.05.001")</f>
        <v>http://dx.doi.org/10.1016/j.zemedi.2023.05.001</v>
      </c>
      <c r="K143" t="s">
        <v>603</v>
      </c>
      <c r="L143" t="s">
        <v>36</v>
      </c>
    </row>
    <row r="144" spans="1:12" x14ac:dyDescent="0.3">
      <c r="A144" t="s">
        <v>604</v>
      </c>
      <c r="B144" t="s">
        <v>605</v>
      </c>
      <c r="C144" t="s">
        <v>606</v>
      </c>
      <c r="D144" t="s">
        <v>19</v>
      </c>
      <c r="E144">
        <v>2024</v>
      </c>
      <c r="F144" s="5">
        <v>23</v>
      </c>
      <c r="G144" s="5">
        <v>3</v>
      </c>
      <c r="H144" s="5">
        <v>2039</v>
      </c>
      <c r="I144" s="5">
        <v>2053</v>
      </c>
      <c r="J144" t="str">
        <f>HYPERLINK("http://dx.doi.org/10.1109/TWC.2023.3294703","http://dx.doi.org/10.1109/TWC.2023.3294703")</f>
        <v>http://dx.doi.org/10.1109/TWC.2023.3294703</v>
      </c>
      <c r="K144" t="s">
        <v>607</v>
      </c>
      <c r="L144" t="s">
        <v>36</v>
      </c>
    </row>
    <row r="145" spans="1:12" x14ac:dyDescent="0.3">
      <c r="A145" t="s">
        <v>608</v>
      </c>
      <c r="B145" t="s">
        <v>609</v>
      </c>
      <c r="C145" t="s">
        <v>610</v>
      </c>
      <c r="D145" t="s">
        <v>19</v>
      </c>
      <c r="E145">
        <v>2024</v>
      </c>
      <c r="F145" s="5">
        <v>30</v>
      </c>
      <c r="G145" s="5">
        <v>3</v>
      </c>
      <c r="H145" s="5">
        <v>837</v>
      </c>
      <c r="I145" s="5">
        <v>849</v>
      </c>
      <c r="J145" t="str">
        <f>HYPERLINK("http://dx.doi.org/10.1038/s41591-024-02850-w","http://dx.doi.org/10.1038/s41591-024-02850-w")</f>
        <v>http://dx.doi.org/10.1038/s41591-024-02850-w</v>
      </c>
      <c r="K145" t="s">
        <v>611</v>
      </c>
      <c r="L145" t="s">
        <v>36</v>
      </c>
    </row>
    <row r="146" spans="1:12" x14ac:dyDescent="0.3">
      <c r="A146" t="s">
        <v>612</v>
      </c>
      <c r="B146" t="s">
        <v>613</v>
      </c>
      <c r="C146" t="s">
        <v>614</v>
      </c>
      <c r="D146" t="s">
        <v>186</v>
      </c>
      <c r="E146">
        <v>2024</v>
      </c>
      <c r="F146" s="5">
        <v>42</v>
      </c>
      <c r="G146" s="5">
        <v>1</v>
      </c>
      <c r="H146" s="5" t="s">
        <v>6</v>
      </c>
      <c r="I146" s="5" t="s">
        <v>6</v>
      </c>
      <c r="J146" t="str">
        <f>HYPERLINK("http://dx.doi.org/10.1007/s00345-023-04749-6","http://dx.doi.org/10.1007/s00345-023-04749-6")</f>
        <v>http://dx.doi.org/10.1007/s00345-023-04749-6</v>
      </c>
      <c r="K146" t="s">
        <v>615</v>
      </c>
      <c r="L146" t="s">
        <v>36</v>
      </c>
    </row>
    <row r="147" spans="1:12" x14ac:dyDescent="0.3">
      <c r="A147" t="s">
        <v>616</v>
      </c>
      <c r="B147" t="s">
        <v>617</v>
      </c>
      <c r="C147" t="s">
        <v>393</v>
      </c>
      <c r="D147" t="s">
        <v>327</v>
      </c>
      <c r="E147">
        <v>2024</v>
      </c>
      <c r="F147" s="5">
        <v>15</v>
      </c>
      <c r="G147" s="5">
        <v>1</v>
      </c>
      <c r="H147" s="5" t="s">
        <v>6</v>
      </c>
      <c r="I147" s="5" t="s">
        <v>6</v>
      </c>
      <c r="J147" t="str">
        <f>HYPERLINK("http://dx.doi.org/10.1038/s41467-023-43095-4","http://dx.doi.org/10.1038/s41467-023-43095-4")</f>
        <v>http://dx.doi.org/10.1038/s41467-023-43095-4</v>
      </c>
      <c r="K147" t="s">
        <v>618</v>
      </c>
      <c r="L147" t="s">
        <v>36</v>
      </c>
    </row>
    <row r="148" spans="1:12" x14ac:dyDescent="0.3">
      <c r="A148" t="s">
        <v>619</v>
      </c>
      <c r="B148" t="s">
        <v>620</v>
      </c>
      <c r="C148" t="s">
        <v>424</v>
      </c>
      <c r="D148" t="s">
        <v>621</v>
      </c>
      <c r="E148">
        <v>2024</v>
      </c>
      <c r="F148" s="5">
        <v>121</v>
      </c>
      <c r="G148" s="5">
        <v>9</v>
      </c>
      <c r="H148" s="5" t="s">
        <v>6</v>
      </c>
      <c r="I148" s="5" t="s">
        <v>6</v>
      </c>
      <c r="J148" t="str">
        <f>HYPERLINK("http://dx.doi.org/10.1073/pnas.2313925121","http://dx.doi.org/10.1073/pnas.2313925121")</f>
        <v>http://dx.doi.org/10.1073/pnas.2313925121</v>
      </c>
      <c r="K148" t="s">
        <v>622</v>
      </c>
      <c r="L148" t="s">
        <v>36</v>
      </c>
    </row>
    <row r="149" spans="1:12" x14ac:dyDescent="0.3">
      <c r="A149" t="s">
        <v>623</v>
      </c>
      <c r="B149" t="s">
        <v>624</v>
      </c>
      <c r="C149" t="s">
        <v>625</v>
      </c>
      <c r="D149" t="s">
        <v>626</v>
      </c>
      <c r="E149">
        <v>2024</v>
      </c>
      <c r="F149" s="5" t="s">
        <v>6</v>
      </c>
      <c r="G149" s="5" t="s">
        <v>6</v>
      </c>
      <c r="H149" s="5" t="s">
        <v>6</v>
      </c>
      <c r="I149" s="5" t="s">
        <v>6</v>
      </c>
      <c r="J149" t="str">
        <f>HYPERLINK("http://dx.doi.org/10.1038/s41391-024-00789-0","http://dx.doi.org/10.1038/s41391-024-00789-0")</f>
        <v>http://dx.doi.org/10.1038/s41391-024-00789-0</v>
      </c>
      <c r="K149" t="s">
        <v>627</v>
      </c>
      <c r="L149" t="s">
        <v>36</v>
      </c>
    </row>
    <row r="150" spans="1:12" x14ac:dyDescent="0.3">
      <c r="A150" t="s">
        <v>628</v>
      </c>
      <c r="B150" t="s">
        <v>629</v>
      </c>
      <c r="C150" t="s">
        <v>630</v>
      </c>
      <c r="D150" t="s">
        <v>631</v>
      </c>
      <c r="E150">
        <v>2024</v>
      </c>
      <c r="F150" s="5">
        <v>31</v>
      </c>
      <c r="G150" s="5">
        <v>8</v>
      </c>
      <c r="H150" s="5">
        <v>2200</v>
      </c>
      <c r="I150" s="5">
        <v>2225</v>
      </c>
      <c r="J150" t="str">
        <f>HYPERLINK("http://dx.doi.org/10.1080/13501763.2024.2318475","http://dx.doi.org/10.1080/13501763.2024.2318475")</f>
        <v>http://dx.doi.org/10.1080/13501763.2024.2318475</v>
      </c>
      <c r="K150" t="s">
        <v>632</v>
      </c>
      <c r="L150" t="s">
        <v>11</v>
      </c>
    </row>
    <row r="151" spans="1:12" x14ac:dyDescent="0.3">
      <c r="A151" t="s">
        <v>633</v>
      </c>
      <c r="B151" t="s">
        <v>634</v>
      </c>
      <c r="C151" t="s">
        <v>635</v>
      </c>
      <c r="D151" t="s">
        <v>636</v>
      </c>
      <c r="E151">
        <v>2024</v>
      </c>
      <c r="F151" s="5">
        <v>52</v>
      </c>
      <c r="G151" s="5" t="s">
        <v>637</v>
      </c>
      <c r="H151" s="5" t="s">
        <v>638</v>
      </c>
      <c r="I151" s="5" t="s">
        <v>639</v>
      </c>
      <c r="J151" t="str">
        <f>HYPERLINK("http://dx.doi.org/10.1093/nar/gkae235","http://dx.doi.org/10.1093/nar/gkae235")</f>
        <v>http://dx.doi.org/10.1093/nar/gkae235</v>
      </c>
      <c r="K151" t="s">
        <v>640</v>
      </c>
      <c r="L151" t="s">
        <v>36</v>
      </c>
    </row>
    <row r="152" spans="1:12" x14ac:dyDescent="0.3">
      <c r="A152" t="s">
        <v>641</v>
      </c>
      <c r="B152" t="s">
        <v>642</v>
      </c>
      <c r="C152" t="s">
        <v>643</v>
      </c>
      <c r="D152" t="s">
        <v>644</v>
      </c>
      <c r="E152">
        <v>2024</v>
      </c>
      <c r="F152" s="5">
        <v>43</v>
      </c>
      <c r="G152" s="5">
        <v>16</v>
      </c>
      <c r="H152" s="5">
        <v>4016</v>
      </c>
      <c r="I152" s="5">
        <v>4032</v>
      </c>
      <c r="J152" t="str">
        <f>HYPERLINK("http://dx.doi.org/10.1080/0144929X.2023.2298305","http://dx.doi.org/10.1080/0144929X.2023.2298305")</f>
        <v>http://dx.doi.org/10.1080/0144929X.2023.2298305</v>
      </c>
      <c r="K152" t="s">
        <v>645</v>
      </c>
      <c r="L152" t="s">
        <v>106</v>
      </c>
    </row>
    <row r="153" spans="1:12" x14ac:dyDescent="0.3">
      <c r="A153" t="s">
        <v>646</v>
      </c>
      <c r="B153" t="s">
        <v>647</v>
      </c>
      <c r="C153" t="s">
        <v>90</v>
      </c>
      <c r="D153" t="s">
        <v>648</v>
      </c>
      <c r="E153">
        <v>2024</v>
      </c>
      <c r="F153" s="5">
        <v>7</v>
      </c>
      <c r="G153" s="5">
        <v>4</v>
      </c>
      <c r="H153" s="5" t="s">
        <v>6</v>
      </c>
      <c r="I153" s="5" t="s">
        <v>6</v>
      </c>
      <c r="J153" t="str">
        <f>HYPERLINK("http://dx.doi.org/10.1001/jamanetworkopen.2024.6565","http://dx.doi.org/10.1001/jamanetworkopen.2024.6565")</f>
        <v>http://dx.doi.org/10.1001/jamanetworkopen.2024.6565</v>
      </c>
      <c r="K153" t="s">
        <v>649</v>
      </c>
      <c r="L153" t="s">
        <v>36</v>
      </c>
    </row>
    <row r="154" spans="1:12" x14ac:dyDescent="0.3">
      <c r="A154" t="s">
        <v>650</v>
      </c>
      <c r="B154" t="s">
        <v>651</v>
      </c>
      <c r="C154" t="s">
        <v>447</v>
      </c>
      <c r="D154" t="s">
        <v>448</v>
      </c>
      <c r="E154">
        <v>2024</v>
      </c>
      <c r="F154" s="5">
        <v>67</v>
      </c>
      <c r="G154" s="5">
        <v>5</v>
      </c>
      <c r="H154" s="5">
        <v>549</v>
      </c>
      <c r="I154" s="5">
        <v>559</v>
      </c>
      <c r="J154" t="str">
        <f>HYPERLINK("http://dx.doi.org/10.1016/j.bushor.2024.04.013","http://dx.doi.org/10.1016/j.bushor.2024.04.013")</f>
        <v>http://dx.doi.org/10.1016/j.bushor.2024.04.013</v>
      </c>
      <c r="K154" t="s">
        <v>652</v>
      </c>
      <c r="L154" t="s">
        <v>11</v>
      </c>
    </row>
    <row r="155" spans="1:12" x14ac:dyDescent="0.3">
      <c r="A155" t="s">
        <v>653</v>
      </c>
      <c r="B155" t="s">
        <v>654</v>
      </c>
      <c r="C155" t="s">
        <v>606</v>
      </c>
      <c r="D155" t="s">
        <v>19</v>
      </c>
      <c r="E155">
        <v>2024</v>
      </c>
      <c r="F155" s="5">
        <v>23</v>
      </c>
      <c r="G155" s="5">
        <v>3</v>
      </c>
      <c r="H155" s="5">
        <v>2486</v>
      </c>
      <c r="I155" s="5">
        <v>2502</v>
      </c>
      <c r="J155" t="str">
        <f>HYPERLINK("http://dx.doi.org/10.1109/TWC.2023.3303232","http://dx.doi.org/10.1109/TWC.2023.3303232")</f>
        <v>http://dx.doi.org/10.1109/TWC.2023.3303232</v>
      </c>
      <c r="K155" t="s">
        <v>655</v>
      </c>
      <c r="L155" t="s">
        <v>36</v>
      </c>
    </row>
    <row r="156" spans="1:12" x14ac:dyDescent="0.3">
      <c r="A156" t="s">
        <v>656</v>
      </c>
      <c r="B156" t="s">
        <v>657</v>
      </c>
      <c r="C156" t="s">
        <v>447</v>
      </c>
      <c r="D156" t="s">
        <v>448</v>
      </c>
      <c r="E156">
        <v>2024</v>
      </c>
      <c r="F156" s="5">
        <v>67</v>
      </c>
      <c r="G156" s="5">
        <v>5</v>
      </c>
      <c r="H156" s="5">
        <v>583</v>
      </c>
      <c r="I156" s="5">
        <v>594</v>
      </c>
      <c r="J156" t="str">
        <f>HYPERLINK("http://dx.doi.org/10.1016/j.bushor.2024.05.003","http://dx.doi.org/10.1016/j.bushor.2024.05.003")</f>
        <v>http://dx.doi.org/10.1016/j.bushor.2024.05.003</v>
      </c>
      <c r="K156" t="s">
        <v>658</v>
      </c>
      <c r="L156" t="s">
        <v>11</v>
      </c>
    </row>
    <row r="157" spans="1:12" x14ac:dyDescent="0.3">
      <c r="A157" t="s">
        <v>659</v>
      </c>
      <c r="B157" t="s">
        <v>660</v>
      </c>
      <c r="C157" t="s">
        <v>661</v>
      </c>
      <c r="D157" t="s">
        <v>125</v>
      </c>
      <c r="E157">
        <v>2024</v>
      </c>
      <c r="F157" s="5">
        <v>25</v>
      </c>
      <c r="G157" s="5">
        <v>1</v>
      </c>
      <c r="H157" s="5" t="s">
        <v>6</v>
      </c>
      <c r="I157" s="5" t="s">
        <v>6</v>
      </c>
      <c r="J157" t="str">
        <f>HYPERLINK("http://dx.doi.org/10.1093/bib/bbad467","http://dx.doi.org/10.1093/bib/bbad467")</f>
        <v>http://dx.doi.org/10.1093/bib/bbad467</v>
      </c>
      <c r="K157" t="s">
        <v>662</v>
      </c>
      <c r="L157" t="s">
        <v>36</v>
      </c>
    </row>
    <row r="158" spans="1:12" x14ac:dyDescent="0.3">
      <c r="A158" t="s">
        <v>663</v>
      </c>
      <c r="B158" t="s">
        <v>664</v>
      </c>
      <c r="C158" t="s">
        <v>665</v>
      </c>
      <c r="D158" t="s">
        <v>19</v>
      </c>
      <c r="E158">
        <v>2024</v>
      </c>
      <c r="F158" s="5">
        <v>6</v>
      </c>
      <c r="G158" s="5">
        <v>3</v>
      </c>
      <c r="H158" s="5" t="s">
        <v>6</v>
      </c>
      <c r="I158" s="5" t="s">
        <v>6</v>
      </c>
      <c r="J158" t="str">
        <f>HYPERLINK("http://dx.doi.org/10.1038/s42256-024-00809-7","http://dx.doi.org/10.1038/s42256-024-00809-7")</f>
        <v>http://dx.doi.org/10.1038/s42256-024-00809-7</v>
      </c>
      <c r="K158" t="s">
        <v>666</v>
      </c>
      <c r="L158" t="s">
        <v>36</v>
      </c>
    </row>
    <row r="159" spans="1:12" x14ac:dyDescent="0.3">
      <c r="A159" t="s">
        <v>667</v>
      </c>
      <c r="B159" t="s">
        <v>668</v>
      </c>
      <c r="C159" t="s">
        <v>566</v>
      </c>
      <c r="D159" t="s">
        <v>46</v>
      </c>
      <c r="E159">
        <v>2024</v>
      </c>
      <c r="F159" s="5">
        <v>38</v>
      </c>
      <c r="G159" s="5">
        <v>3</v>
      </c>
      <c r="H159" s="5">
        <v>178</v>
      </c>
      <c r="I159" s="5">
        <v>186</v>
      </c>
      <c r="J159" t="str">
        <f>HYPERLINK("http://dx.doi.org/10.1109/MNET.006.2300223","http://dx.doi.org/10.1109/MNET.006.2300223")</f>
        <v>http://dx.doi.org/10.1109/MNET.006.2300223</v>
      </c>
      <c r="K159" t="s">
        <v>669</v>
      </c>
      <c r="L159" t="s">
        <v>36</v>
      </c>
    </row>
    <row r="160" spans="1:12" x14ac:dyDescent="0.3">
      <c r="A160" t="s">
        <v>670</v>
      </c>
      <c r="B160" t="s">
        <v>671</v>
      </c>
      <c r="C160" t="s">
        <v>672</v>
      </c>
      <c r="D160" t="s">
        <v>35</v>
      </c>
      <c r="E160">
        <v>2024</v>
      </c>
      <c r="F160" s="5">
        <v>75</v>
      </c>
      <c r="G160" s="5" t="s">
        <v>6</v>
      </c>
      <c r="H160" s="5" t="s">
        <v>6</v>
      </c>
      <c r="I160" s="5" t="s">
        <v>6</v>
      </c>
      <c r="J160" t="str">
        <f>HYPERLINK("http://dx.doi.org/10.1016/j.nepr.2024.103888","http://dx.doi.org/10.1016/j.nepr.2024.103888")</f>
        <v>http://dx.doi.org/10.1016/j.nepr.2024.103888</v>
      </c>
      <c r="K160" t="s">
        <v>673</v>
      </c>
      <c r="L160" t="s">
        <v>106</v>
      </c>
    </row>
    <row r="161" spans="1:12" x14ac:dyDescent="0.3">
      <c r="A161" t="s">
        <v>674</v>
      </c>
      <c r="B161" t="s">
        <v>675</v>
      </c>
      <c r="C161" t="s">
        <v>676</v>
      </c>
      <c r="D161" t="s">
        <v>499</v>
      </c>
      <c r="E161">
        <v>2024</v>
      </c>
      <c r="F161" s="5">
        <v>19</v>
      </c>
      <c r="G161" s="5">
        <v>5</v>
      </c>
      <c r="H161" s="5">
        <v>808</v>
      </c>
      <c r="I161" s="5">
        <v>826</v>
      </c>
      <c r="J161" t="str">
        <f>HYPERLINK("http://dx.doi.org/10.1177/17456916231214460","http://dx.doi.org/10.1177/17456916231214460")</f>
        <v>http://dx.doi.org/10.1177/17456916231214460</v>
      </c>
      <c r="K161" t="s">
        <v>677</v>
      </c>
      <c r="L161" t="s">
        <v>11</v>
      </c>
    </row>
    <row r="162" spans="1:12" x14ac:dyDescent="0.3">
      <c r="A162" t="s">
        <v>678</v>
      </c>
      <c r="B162" t="s">
        <v>679</v>
      </c>
      <c r="C162" t="s">
        <v>680</v>
      </c>
      <c r="D162" t="s">
        <v>19</v>
      </c>
      <c r="E162">
        <v>2024</v>
      </c>
      <c r="F162" s="5">
        <v>92</v>
      </c>
      <c r="G162" s="5" t="s">
        <v>6</v>
      </c>
      <c r="H162" s="5" t="s">
        <v>6</v>
      </c>
      <c r="I162" s="5" t="s">
        <v>6</v>
      </c>
      <c r="J162" t="str">
        <f>HYPERLINK("http://dx.doi.org/10.1016/j.ifset.2024.103599","http://dx.doi.org/10.1016/j.ifset.2024.103599")</f>
        <v>http://dx.doi.org/10.1016/j.ifset.2024.103599</v>
      </c>
      <c r="K162" t="s">
        <v>681</v>
      </c>
      <c r="L162" t="s">
        <v>36</v>
      </c>
    </row>
    <row r="163" spans="1:12" x14ac:dyDescent="0.3">
      <c r="A163" t="s">
        <v>682</v>
      </c>
      <c r="B163" t="s">
        <v>683</v>
      </c>
      <c r="C163" t="s">
        <v>684</v>
      </c>
      <c r="D163" t="s">
        <v>685</v>
      </c>
      <c r="E163">
        <v>2024</v>
      </c>
      <c r="F163" s="5">
        <v>2024</v>
      </c>
      <c r="G163" s="5" t="s">
        <v>6</v>
      </c>
      <c r="H163" s="5" t="s">
        <v>6</v>
      </c>
      <c r="I163" s="5" t="s">
        <v>6</v>
      </c>
      <c r="J163" t="str">
        <f>HYPERLINK("http://dx.doi.org/10.1155/2024/8185044","http://dx.doi.org/10.1155/2024/8185044")</f>
        <v>http://dx.doi.org/10.1155/2024/8185044</v>
      </c>
      <c r="K163" t="s">
        <v>686</v>
      </c>
      <c r="L163" t="s">
        <v>36</v>
      </c>
    </row>
    <row r="164" spans="1:12" x14ac:dyDescent="0.3">
      <c r="A164" t="s">
        <v>687</v>
      </c>
      <c r="B164" t="s">
        <v>688</v>
      </c>
      <c r="C164" t="s">
        <v>447</v>
      </c>
      <c r="D164" t="s">
        <v>448</v>
      </c>
      <c r="E164">
        <v>2024</v>
      </c>
      <c r="F164" s="5">
        <v>67</v>
      </c>
      <c r="G164" s="5">
        <v>5</v>
      </c>
      <c r="H164" s="5">
        <v>561</v>
      </c>
      <c r="I164" s="5">
        <v>570</v>
      </c>
      <c r="J164" t="str">
        <f>HYPERLINK("http://dx.doi.org/10.1016/j.bushor.2024.04.014","http://dx.doi.org/10.1016/j.bushor.2024.04.014")</f>
        <v>http://dx.doi.org/10.1016/j.bushor.2024.04.014</v>
      </c>
      <c r="K164" t="s">
        <v>689</v>
      </c>
      <c r="L164" t="s">
        <v>11</v>
      </c>
    </row>
    <row r="165" spans="1:12" x14ac:dyDescent="0.3">
      <c r="A165" t="s">
        <v>690</v>
      </c>
      <c r="B165" t="s">
        <v>691</v>
      </c>
      <c r="C165" t="s">
        <v>692</v>
      </c>
      <c r="D165" t="s">
        <v>77</v>
      </c>
      <c r="E165">
        <v>2024</v>
      </c>
      <c r="F165" s="5">
        <v>46</v>
      </c>
      <c r="G165" s="5">
        <v>4</v>
      </c>
      <c r="H165" s="5">
        <v>2104</v>
      </c>
      <c r="I165" s="5">
        <v>2122</v>
      </c>
      <c r="J165" t="str">
        <f>HYPERLINK("http://dx.doi.org/10.1109/TPAMI.2023.3331846","http://dx.doi.org/10.1109/TPAMI.2023.3331846")</f>
        <v>http://dx.doi.org/10.1109/TPAMI.2023.3331846</v>
      </c>
      <c r="K165" t="s">
        <v>693</v>
      </c>
      <c r="L165" t="s">
        <v>36</v>
      </c>
    </row>
    <row r="166" spans="1:12" x14ac:dyDescent="0.3">
      <c r="A166" t="s">
        <v>694</v>
      </c>
      <c r="B166" t="s">
        <v>695</v>
      </c>
      <c r="C166" t="s">
        <v>180</v>
      </c>
      <c r="D166" t="s">
        <v>425</v>
      </c>
      <c r="E166">
        <v>2024</v>
      </c>
      <c r="F166" s="5">
        <v>14</v>
      </c>
      <c r="G166" s="5">
        <v>1</v>
      </c>
      <c r="H166" s="5" t="s">
        <v>6</v>
      </c>
      <c r="I166" s="5" t="s">
        <v>6</v>
      </c>
      <c r="J166" t="str">
        <f>HYPERLINK("http://dx.doi.org/10.1038/s41598-024-54655-z","http://dx.doi.org/10.1038/s41598-024-54655-z")</f>
        <v>http://dx.doi.org/10.1038/s41598-024-54655-z</v>
      </c>
      <c r="K166" t="s">
        <v>696</v>
      </c>
      <c r="L166" t="s">
        <v>36</v>
      </c>
    </row>
    <row r="167" spans="1:12" x14ac:dyDescent="0.3">
      <c r="A167" t="s">
        <v>697</v>
      </c>
      <c r="B167" t="s">
        <v>698</v>
      </c>
      <c r="C167" t="s">
        <v>699</v>
      </c>
      <c r="D167" t="s">
        <v>700</v>
      </c>
      <c r="E167">
        <v>2024</v>
      </c>
      <c r="F167" s="5">
        <v>7</v>
      </c>
      <c r="G167" s="5">
        <v>1</v>
      </c>
      <c r="H167" s="5" t="s">
        <v>6</v>
      </c>
      <c r="I167" s="5" t="s">
        <v>6</v>
      </c>
      <c r="J167" t="str">
        <f>HYPERLINK("http://dx.doi.org/10.1038/s41746-024-01039-2","http://dx.doi.org/10.1038/s41746-024-01039-2")</f>
        <v>http://dx.doi.org/10.1038/s41746-024-01039-2</v>
      </c>
      <c r="K167" t="s">
        <v>701</v>
      </c>
      <c r="L167" t="s">
        <v>36</v>
      </c>
    </row>
    <row r="168" spans="1:12" x14ac:dyDescent="0.3">
      <c r="A168" t="s">
        <v>702</v>
      </c>
      <c r="B168" t="s">
        <v>703</v>
      </c>
      <c r="C168" t="s">
        <v>704</v>
      </c>
      <c r="D168" t="s">
        <v>700</v>
      </c>
      <c r="E168">
        <v>2024</v>
      </c>
      <c r="F168" s="5">
        <v>26</v>
      </c>
      <c r="G168" s="5" t="s">
        <v>6</v>
      </c>
      <c r="H168" s="5" t="s">
        <v>6</v>
      </c>
      <c r="I168" s="5" t="s">
        <v>6</v>
      </c>
      <c r="J168" s="2" t="s">
        <v>928</v>
      </c>
      <c r="K168" t="s">
        <v>705</v>
      </c>
      <c r="L168" t="s">
        <v>36</v>
      </c>
    </row>
    <row r="169" spans="1:12" x14ac:dyDescent="0.3">
      <c r="A169" t="s">
        <v>706</v>
      </c>
      <c r="B169" t="s">
        <v>707</v>
      </c>
      <c r="C169" t="s">
        <v>9</v>
      </c>
      <c r="D169" t="s">
        <v>19</v>
      </c>
      <c r="E169">
        <v>2024</v>
      </c>
      <c r="F169" s="5">
        <v>175</v>
      </c>
      <c r="G169" s="5" t="s">
        <v>6</v>
      </c>
      <c r="H169" s="5" t="s">
        <v>6</v>
      </c>
      <c r="I169" s="5" t="s">
        <v>6</v>
      </c>
      <c r="J169" t="str">
        <f>HYPERLINK("http://dx.doi.org/10.1016/j.jbusres.2024.114545","http://dx.doi.org/10.1016/j.jbusres.2024.114545")</f>
        <v>http://dx.doi.org/10.1016/j.jbusres.2024.114545</v>
      </c>
      <c r="K169" t="s">
        <v>708</v>
      </c>
      <c r="L169" t="s">
        <v>11</v>
      </c>
    </row>
    <row r="170" spans="1:12" x14ac:dyDescent="0.3">
      <c r="A170" t="s">
        <v>709</v>
      </c>
      <c r="B170" t="s">
        <v>710</v>
      </c>
      <c r="C170" t="s">
        <v>190</v>
      </c>
      <c r="D170" t="s">
        <v>77</v>
      </c>
      <c r="E170">
        <v>2024</v>
      </c>
      <c r="F170" s="5">
        <v>132</v>
      </c>
      <c r="G170" s="5" t="s">
        <v>6</v>
      </c>
      <c r="H170" s="5" t="s">
        <v>6</v>
      </c>
      <c r="I170" s="5" t="s">
        <v>6</v>
      </c>
      <c r="J170" t="str">
        <f>HYPERLINK("http://dx.doi.org/10.1016/j.eneco.2024.107499","http://dx.doi.org/10.1016/j.eneco.2024.107499")</f>
        <v>http://dx.doi.org/10.1016/j.eneco.2024.107499</v>
      </c>
      <c r="K170" t="s">
        <v>711</v>
      </c>
      <c r="L170" t="s">
        <v>11</v>
      </c>
    </row>
    <row r="171" spans="1:12" x14ac:dyDescent="0.3">
      <c r="A171" t="s">
        <v>712</v>
      </c>
      <c r="B171" t="s">
        <v>713</v>
      </c>
      <c r="C171" t="s">
        <v>699</v>
      </c>
      <c r="D171" t="s">
        <v>714</v>
      </c>
      <c r="E171">
        <v>2024</v>
      </c>
      <c r="F171" s="5">
        <v>7</v>
      </c>
      <c r="G171" s="5">
        <v>1</v>
      </c>
      <c r="H171" s="5" t="s">
        <v>6</v>
      </c>
      <c r="I171" s="5" t="s">
        <v>6</v>
      </c>
      <c r="J171" t="str">
        <f>HYPERLINK("http://dx.doi.org/10.1038/s41746-024-01116-6","http://dx.doi.org/10.1038/s41746-024-01116-6")</f>
        <v>http://dx.doi.org/10.1038/s41746-024-01116-6</v>
      </c>
      <c r="K171" t="s">
        <v>715</v>
      </c>
      <c r="L171" t="s">
        <v>36</v>
      </c>
    </row>
    <row r="172" spans="1:12" x14ac:dyDescent="0.3">
      <c r="A172" t="s">
        <v>716</v>
      </c>
      <c r="B172" t="s">
        <v>717</v>
      </c>
      <c r="C172" t="s">
        <v>346</v>
      </c>
      <c r="D172" t="s">
        <v>347</v>
      </c>
      <c r="E172">
        <v>2024</v>
      </c>
      <c r="F172" s="5">
        <v>49</v>
      </c>
      <c r="G172" s="5">
        <v>5</v>
      </c>
      <c r="H172" s="5">
        <v>865</v>
      </c>
      <c r="I172" s="5">
        <v>882</v>
      </c>
      <c r="J172" t="str">
        <f>HYPERLINK("http://dx.doi.org/10.1080/03075079.2024.2316881","http://dx.doi.org/10.1080/03075079.2024.2316881")</f>
        <v>http://dx.doi.org/10.1080/03075079.2024.2316881</v>
      </c>
      <c r="K172" t="s">
        <v>718</v>
      </c>
      <c r="L172" t="s">
        <v>11</v>
      </c>
    </row>
    <row r="173" spans="1:12" x14ac:dyDescent="0.3">
      <c r="A173" t="s">
        <v>719</v>
      </c>
      <c r="B173" t="s">
        <v>720</v>
      </c>
      <c r="C173" t="s">
        <v>721</v>
      </c>
      <c r="D173" t="s">
        <v>30</v>
      </c>
      <c r="E173">
        <v>2024</v>
      </c>
      <c r="F173" s="5">
        <v>159</v>
      </c>
      <c r="G173" s="5" t="s">
        <v>6</v>
      </c>
      <c r="H173" s="5" t="s">
        <v>6</v>
      </c>
      <c r="I173" s="5" t="s">
        <v>6</v>
      </c>
      <c r="J173" t="str">
        <f>HYPERLINK("http://dx.doi.org/10.1016/j.chb.2024.108353","http://dx.doi.org/10.1016/j.chb.2024.108353")</f>
        <v>http://dx.doi.org/10.1016/j.chb.2024.108353</v>
      </c>
      <c r="K173" t="s">
        <v>722</v>
      </c>
      <c r="L173" t="s">
        <v>11</v>
      </c>
    </row>
    <row r="174" spans="1:12" x14ac:dyDescent="0.3">
      <c r="A174" t="s">
        <v>723</v>
      </c>
      <c r="B174" t="s">
        <v>724</v>
      </c>
      <c r="C174" t="s">
        <v>725</v>
      </c>
      <c r="D174" t="s">
        <v>726</v>
      </c>
      <c r="E174">
        <v>2024</v>
      </c>
      <c r="F174" s="5" t="s">
        <v>6</v>
      </c>
      <c r="G174" s="5" t="s">
        <v>6</v>
      </c>
      <c r="H174" s="5" t="s">
        <v>6</v>
      </c>
      <c r="I174" s="5" t="s">
        <v>6</v>
      </c>
      <c r="J174" t="str">
        <f>HYPERLINK("http://dx.doi.org/10.1007/s40299-024-00853-2","http://dx.doi.org/10.1007/s40299-024-00853-2")</f>
        <v>http://dx.doi.org/10.1007/s40299-024-00853-2</v>
      </c>
      <c r="K174" t="s">
        <v>727</v>
      </c>
      <c r="L174" t="s">
        <v>11</v>
      </c>
    </row>
    <row r="175" spans="1:12" x14ac:dyDescent="0.3">
      <c r="A175" t="s">
        <v>728</v>
      </c>
      <c r="B175" t="s">
        <v>729</v>
      </c>
      <c r="C175" t="s">
        <v>730</v>
      </c>
      <c r="D175" t="s">
        <v>96</v>
      </c>
      <c r="E175">
        <v>2024</v>
      </c>
      <c r="F175" s="5">
        <v>21</v>
      </c>
      <c r="G175" s="5">
        <v>8</v>
      </c>
      <c r="H175" s="5" t="s">
        <v>6</v>
      </c>
      <c r="I175" s="5" t="s">
        <v>6</v>
      </c>
      <c r="J175" t="str">
        <f>HYPERLINK("http://dx.doi.org/10.1038/s41592-024-02201-0","http://dx.doi.org/10.1038/s41592-024-02201-0")</f>
        <v>http://dx.doi.org/10.1038/s41592-024-02201-0</v>
      </c>
      <c r="K175" t="s">
        <v>731</v>
      </c>
      <c r="L175" t="s">
        <v>36</v>
      </c>
    </row>
    <row r="176" spans="1:12" x14ac:dyDescent="0.3">
      <c r="A176" t="s">
        <v>732</v>
      </c>
      <c r="B176" t="s">
        <v>733</v>
      </c>
      <c r="C176" t="s">
        <v>429</v>
      </c>
      <c r="D176" t="s">
        <v>46</v>
      </c>
      <c r="E176">
        <v>2024</v>
      </c>
      <c r="F176" s="5">
        <v>13</v>
      </c>
      <c r="G176" s="5">
        <v>9</v>
      </c>
      <c r="H176" s="5" t="s">
        <v>6</v>
      </c>
      <c r="I176" s="5" t="s">
        <v>6</v>
      </c>
      <c r="J176" t="str">
        <f>HYPERLINK("http://dx.doi.org/10.3390/jcm13092709","http://dx.doi.org/10.3390/jcm13092709")</f>
        <v>http://dx.doi.org/10.3390/jcm13092709</v>
      </c>
      <c r="K176" t="s">
        <v>734</v>
      </c>
      <c r="L176" t="s">
        <v>36</v>
      </c>
    </row>
    <row r="177" spans="1:12" x14ac:dyDescent="0.3">
      <c r="A177" t="s">
        <v>735</v>
      </c>
      <c r="B177" t="s">
        <v>736</v>
      </c>
      <c r="C177" t="s">
        <v>721</v>
      </c>
      <c r="D177" t="s">
        <v>30</v>
      </c>
      <c r="E177">
        <v>2024</v>
      </c>
      <c r="F177" s="5">
        <v>159</v>
      </c>
      <c r="G177" s="5" t="s">
        <v>6</v>
      </c>
      <c r="H177" s="5" t="s">
        <v>6</v>
      </c>
      <c r="I177" s="5" t="s">
        <v>6</v>
      </c>
      <c r="J177" t="str">
        <f>HYPERLINK("http://dx.doi.org/10.1016/j.chb.2024.108337","http://dx.doi.org/10.1016/j.chb.2024.108337")</f>
        <v>http://dx.doi.org/10.1016/j.chb.2024.108337</v>
      </c>
      <c r="K177" t="s">
        <v>737</v>
      </c>
      <c r="L177" t="s">
        <v>11</v>
      </c>
    </row>
    <row r="178" spans="1:12" x14ac:dyDescent="0.3">
      <c r="A178" t="s">
        <v>738</v>
      </c>
      <c r="B178" t="s">
        <v>739</v>
      </c>
      <c r="C178" t="s">
        <v>447</v>
      </c>
      <c r="D178" t="s">
        <v>448</v>
      </c>
      <c r="E178">
        <v>2024</v>
      </c>
      <c r="F178" s="5">
        <v>67</v>
      </c>
      <c r="G178" s="5">
        <v>5</v>
      </c>
      <c r="H178" s="5">
        <v>615</v>
      </c>
      <c r="I178" s="5">
        <v>627</v>
      </c>
      <c r="J178" t="str">
        <f>HYPERLINK("http://dx.doi.org/10.1016/j.bushor.2024.05.006","http://dx.doi.org/10.1016/j.bushor.2024.05.006")</f>
        <v>http://dx.doi.org/10.1016/j.bushor.2024.05.006</v>
      </c>
      <c r="K178" t="s">
        <v>740</v>
      </c>
      <c r="L178" t="s">
        <v>11</v>
      </c>
    </row>
    <row r="179" spans="1:12" x14ac:dyDescent="0.3">
      <c r="A179" t="s">
        <v>741</v>
      </c>
      <c r="B179" t="s">
        <v>742</v>
      </c>
      <c r="C179" t="s">
        <v>743</v>
      </c>
      <c r="D179" t="s">
        <v>6</v>
      </c>
      <c r="E179">
        <v>2024</v>
      </c>
      <c r="F179" s="5">
        <v>36</v>
      </c>
      <c r="G179" s="5">
        <v>1</v>
      </c>
      <c r="H179" s="5" t="s">
        <v>6</v>
      </c>
      <c r="I179" s="5" t="s">
        <v>6</v>
      </c>
      <c r="J179" t="str">
        <f>HYPERLINK("http://dx.doi.org/10.4018/JOEUC.336284","http://dx.doi.org/10.4018/JOEUC.336284")</f>
        <v>http://dx.doi.org/10.4018/JOEUC.336284</v>
      </c>
      <c r="K179" t="s">
        <v>744</v>
      </c>
      <c r="L179" t="s">
        <v>106</v>
      </c>
    </row>
    <row r="180" spans="1:12" x14ac:dyDescent="0.3">
      <c r="A180" t="s">
        <v>745</v>
      </c>
      <c r="B180" t="s">
        <v>746</v>
      </c>
      <c r="C180" t="s">
        <v>747</v>
      </c>
      <c r="D180" t="s">
        <v>256</v>
      </c>
      <c r="E180">
        <v>2024</v>
      </c>
      <c r="F180" s="5">
        <v>13</v>
      </c>
      <c r="G180" s="5">
        <v>1</v>
      </c>
      <c r="H180" s="5" t="s">
        <v>6</v>
      </c>
      <c r="I180" s="5" t="s">
        <v>6</v>
      </c>
      <c r="J180" t="str">
        <f>HYPERLINK("http://dx.doi.org/10.1140/epjds/s13688-023-00445-y","http://dx.doi.org/10.1140/epjds/s13688-023-00445-y")</f>
        <v>http://dx.doi.org/10.1140/epjds/s13688-023-00445-y</v>
      </c>
      <c r="K180" t="s">
        <v>748</v>
      </c>
      <c r="L180" t="s">
        <v>106</v>
      </c>
    </row>
    <row r="181" spans="1:12" x14ac:dyDescent="0.3">
      <c r="A181" t="s">
        <v>749</v>
      </c>
      <c r="B181" t="s">
        <v>750</v>
      </c>
      <c r="C181" t="s">
        <v>206</v>
      </c>
      <c r="D181" t="s">
        <v>77</v>
      </c>
      <c r="E181">
        <v>2024</v>
      </c>
      <c r="F181" s="5">
        <v>121</v>
      </c>
      <c r="G181" s="5" t="s">
        <v>6</v>
      </c>
      <c r="H181" s="5" t="s">
        <v>6</v>
      </c>
      <c r="I181" s="5" t="s">
        <v>6</v>
      </c>
      <c r="J181" t="str">
        <f>HYPERLINK("http://dx.doi.org/10.1016/j.system.2024.103225","http://dx.doi.org/10.1016/j.system.2024.103225")</f>
        <v>http://dx.doi.org/10.1016/j.system.2024.103225</v>
      </c>
      <c r="K181" t="s">
        <v>751</v>
      </c>
      <c r="L181" t="s">
        <v>11</v>
      </c>
    </row>
    <row r="182" spans="1:12" x14ac:dyDescent="0.3">
      <c r="A182" t="s">
        <v>752</v>
      </c>
      <c r="B182" t="s">
        <v>753</v>
      </c>
      <c r="C182" t="s">
        <v>754</v>
      </c>
      <c r="D182" t="s">
        <v>581</v>
      </c>
      <c r="E182">
        <v>2024</v>
      </c>
      <c r="F182" s="5">
        <v>19</v>
      </c>
      <c r="G182" s="5">
        <v>1</v>
      </c>
      <c r="H182" s="5" t="s">
        <v>6</v>
      </c>
      <c r="I182" s="5" t="s">
        <v>6</v>
      </c>
      <c r="J182" t="str">
        <f>HYPERLINK("http://dx.doi.org/10.1186/s13012-024-01357-9","http://dx.doi.org/10.1186/s13012-024-01357-9")</f>
        <v>http://dx.doi.org/10.1186/s13012-024-01357-9</v>
      </c>
      <c r="K182" t="s">
        <v>755</v>
      </c>
      <c r="L182" t="s">
        <v>106</v>
      </c>
    </row>
    <row r="183" spans="1:12" x14ac:dyDescent="0.3">
      <c r="A183" t="s">
        <v>756</v>
      </c>
      <c r="B183" t="s">
        <v>757</v>
      </c>
      <c r="C183" t="s">
        <v>385</v>
      </c>
      <c r="D183" t="s">
        <v>10</v>
      </c>
      <c r="E183">
        <v>2024</v>
      </c>
      <c r="F183" s="5">
        <v>79</v>
      </c>
      <c r="G183" s="5" t="s">
        <v>6</v>
      </c>
      <c r="H183" s="5" t="s">
        <v>6</v>
      </c>
      <c r="I183" s="5" t="s">
        <v>6</v>
      </c>
      <c r="J183" t="str">
        <f>HYPERLINK("http://dx.doi.org/10.1016/j.jretconser.2024.103825","http://dx.doi.org/10.1016/j.jretconser.2024.103825")</f>
        <v>http://dx.doi.org/10.1016/j.jretconser.2024.103825</v>
      </c>
      <c r="K183" t="s">
        <v>758</v>
      </c>
      <c r="L183" t="s">
        <v>11</v>
      </c>
    </row>
    <row r="184" spans="1:12" x14ac:dyDescent="0.3">
      <c r="A184" t="s">
        <v>759</v>
      </c>
      <c r="B184" t="s">
        <v>760</v>
      </c>
      <c r="C184" t="s">
        <v>761</v>
      </c>
      <c r="D184" t="s">
        <v>77</v>
      </c>
      <c r="E184">
        <v>2024</v>
      </c>
      <c r="F184" s="5">
        <v>173</v>
      </c>
      <c r="G184" s="5" t="s">
        <v>6</v>
      </c>
      <c r="H184" s="5" t="s">
        <v>6</v>
      </c>
      <c r="I184" s="5" t="s">
        <v>6</v>
      </c>
      <c r="J184" t="str">
        <f>HYPERLINK("http://dx.doi.org/10.1016/j.ejrad.2024.111364","http://dx.doi.org/10.1016/j.ejrad.2024.111364")</f>
        <v>http://dx.doi.org/10.1016/j.ejrad.2024.111364</v>
      </c>
      <c r="K184" t="s">
        <v>762</v>
      </c>
      <c r="L184" t="s">
        <v>36</v>
      </c>
    </row>
    <row r="185" spans="1:12" x14ac:dyDescent="0.3">
      <c r="A185" t="s">
        <v>763</v>
      </c>
      <c r="B185" t="s">
        <v>764</v>
      </c>
      <c r="C185" t="s">
        <v>331</v>
      </c>
      <c r="D185" t="s">
        <v>6</v>
      </c>
      <c r="E185">
        <v>2024</v>
      </c>
      <c r="F185" s="5">
        <v>11</v>
      </c>
      <c r="G185" s="5" t="s">
        <v>6</v>
      </c>
      <c r="H185" s="5" t="s">
        <v>6</v>
      </c>
      <c r="I185" s="5" t="s">
        <v>6</v>
      </c>
      <c r="J185" t="str">
        <f>HYPERLINK("http://dx.doi.org/10.2196/54369","http://dx.doi.org/10.2196/54369")</f>
        <v>http://dx.doi.org/10.2196/54369</v>
      </c>
      <c r="K185" t="s">
        <v>765</v>
      </c>
      <c r="L185" t="s">
        <v>36</v>
      </c>
    </row>
    <row r="186" spans="1:12" x14ac:dyDescent="0.3">
      <c r="A186" t="s">
        <v>766</v>
      </c>
      <c r="B186" t="s">
        <v>767</v>
      </c>
      <c r="C186" t="s">
        <v>768</v>
      </c>
      <c r="D186" t="s">
        <v>769</v>
      </c>
      <c r="E186">
        <v>2024</v>
      </c>
      <c r="F186" s="5">
        <v>26</v>
      </c>
      <c r="G186" s="5">
        <v>2</v>
      </c>
      <c r="H186" s="5">
        <v>1127</v>
      </c>
      <c r="I186" s="5">
        <v>1170</v>
      </c>
      <c r="J186" t="str">
        <f>HYPERLINK("http://dx.doi.org/10.1109/COMST.2024.3353265","http://dx.doi.org/10.1109/COMST.2024.3353265")</f>
        <v>http://dx.doi.org/10.1109/COMST.2024.3353265</v>
      </c>
      <c r="K186" t="s">
        <v>770</v>
      </c>
      <c r="L186" t="s">
        <v>36</v>
      </c>
    </row>
    <row r="187" spans="1:12" x14ac:dyDescent="0.3">
      <c r="A187" t="s">
        <v>771</v>
      </c>
      <c r="B187" t="s">
        <v>772</v>
      </c>
      <c r="C187" t="s">
        <v>456</v>
      </c>
      <c r="D187" t="s">
        <v>30</v>
      </c>
      <c r="E187">
        <v>2024</v>
      </c>
      <c r="F187" s="5">
        <v>29</v>
      </c>
      <c r="G187" s="5">
        <v>15</v>
      </c>
      <c r="H187" s="5">
        <v>19343</v>
      </c>
      <c r="I187" s="5">
        <v>19366</v>
      </c>
      <c r="J187" t="str">
        <f>HYPERLINK("http://dx.doi.org/10.1007/s10639-024-12574-6","http://dx.doi.org/10.1007/s10639-024-12574-6")</f>
        <v>http://dx.doi.org/10.1007/s10639-024-12574-6</v>
      </c>
      <c r="K187" t="s">
        <v>773</v>
      </c>
      <c r="L187" t="s">
        <v>11</v>
      </c>
    </row>
    <row r="188" spans="1:12" x14ac:dyDescent="0.3">
      <c r="A188" t="s">
        <v>774</v>
      </c>
      <c r="B188" t="s">
        <v>775</v>
      </c>
      <c r="C188" t="s">
        <v>385</v>
      </c>
      <c r="D188" t="s">
        <v>19</v>
      </c>
      <c r="E188">
        <v>2024</v>
      </c>
      <c r="F188" s="5">
        <v>77</v>
      </c>
      <c r="G188" s="5" t="s">
        <v>6</v>
      </c>
      <c r="H188" s="5" t="s">
        <v>6</v>
      </c>
      <c r="I188" s="5" t="s">
        <v>6</v>
      </c>
      <c r="J188" t="str">
        <f>HYPERLINK("http://dx.doi.org/10.1016/j.jretconser.2023.103700","http://dx.doi.org/10.1016/j.jretconser.2023.103700")</f>
        <v>http://dx.doi.org/10.1016/j.jretconser.2023.103700</v>
      </c>
      <c r="K188" t="s">
        <v>776</v>
      </c>
      <c r="L188" t="s">
        <v>11</v>
      </c>
    </row>
    <row r="189" spans="1:12" x14ac:dyDescent="0.3">
      <c r="A189" t="s">
        <v>777</v>
      </c>
      <c r="B189" t="s">
        <v>778</v>
      </c>
      <c r="C189" t="s">
        <v>779</v>
      </c>
      <c r="D189" t="s">
        <v>19</v>
      </c>
      <c r="E189">
        <v>2024</v>
      </c>
      <c r="F189" s="5">
        <v>28</v>
      </c>
      <c r="G189" s="5">
        <v>3</v>
      </c>
      <c r="H189" s="5">
        <v>1261</v>
      </c>
      <c r="I189" s="5">
        <v>1272</v>
      </c>
      <c r="J189" t="str">
        <f>HYPERLINK("http://dx.doi.org/10.1109/JBHI.2023.3266614","http://dx.doi.org/10.1109/JBHI.2023.3266614")</f>
        <v>http://dx.doi.org/10.1109/JBHI.2023.3266614</v>
      </c>
      <c r="K189" t="s">
        <v>780</v>
      </c>
      <c r="L189" t="s">
        <v>36</v>
      </c>
    </row>
    <row r="190" spans="1:12" x14ac:dyDescent="0.3">
      <c r="A190" t="s">
        <v>781</v>
      </c>
      <c r="B190" t="s">
        <v>782</v>
      </c>
      <c r="C190" t="s">
        <v>783</v>
      </c>
      <c r="D190" t="s">
        <v>10</v>
      </c>
      <c r="E190">
        <v>2024</v>
      </c>
      <c r="F190" s="5">
        <v>15</v>
      </c>
      <c r="G190" s="5">
        <v>4</v>
      </c>
      <c r="H190" s="5" t="s">
        <v>6</v>
      </c>
      <c r="I190" s="5" t="s">
        <v>6</v>
      </c>
      <c r="J190" t="str">
        <f>HYPERLINK("http://dx.doi.org/10.1016/j.gsf.2024.101800","http://dx.doi.org/10.1016/j.gsf.2024.101800")</f>
        <v>http://dx.doi.org/10.1016/j.gsf.2024.101800</v>
      </c>
      <c r="K190" t="s">
        <v>784</v>
      </c>
      <c r="L190" t="s">
        <v>36</v>
      </c>
    </row>
    <row r="191" spans="1:12" x14ac:dyDescent="0.3">
      <c r="A191" t="s">
        <v>785</v>
      </c>
      <c r="B191" t="s">
        <v>786</v>
      </c>
      <c r="C191" t="s">
        <v>180</v>
      </c>
      <c r="D191" t="s">
        <v>787</v>
      </c>
      <c r="E191">
        <v>2024</v>
      </c>
      <c r="F191" s="5">
        <v>14</v>
      </c>
      <c r="G191" s="5">
        <v>1</v>
      </c>
      <c r="H191" s="5" t="s">
        <v>6</v>
      </c>
      <c r="I191" s="5" t="s">
        <v>6</v>
      </c>
      <c r="J191" t="str">
        <f>HYPERLINK("http://dx.doi.org/10.1038/s41598-024-55250-y","http://dx.doi.org/10.1038/s41598-024-55250-y")</f>
        <v>http://dx.doi.org/10.1038/s41598-024-55250-y</v>
      </c>
      <c r="K191" t="s">
        <v>788</v>
      </c>
      <c r="L191" t="s">
        <v>36</v>
      </c>
    </row>
    <row r="192" spans="1:12" x14ac:dyDescent="0.3">
      <c r="A192" t="s">
        <v>789</v>
      </c>
      <c r="B192" t="s">
        <v>790</v>
      </c>
      <c r="C192" t="s">
        <v>323</v>
      </c>
      <c r="D192" t="s">
        <v>19</v>
      </c>
      <c r="E192">
        <v>2024</v>
      </c>
      <c r="F192" s="5">
        <v>76</v>
      </c>
      <c r="G192" s="5" t="s">
        <v>6</v>
      </c>
      <c r="H192" s="5" t="s">
        <v>6</v>
      </c>
      <c r="I192" s="5" t="s">
        <v>6</v>
      </c>
      <c r="J192" t="str">
        <f>HYPERLINK("http://dx.doi.org/10.1016/j.techsoc.2024.102471","http://dx.doi.org/10.1016/j.techsoc.2024.102471")</f>
        <v>http://dx.doi.org/10.1016/j.techsoc.2024.102471</v>
      </c>
      <c r="K192" t="s">
        <v>791</v>
      </c>
      <c r="L192" t="s">
        <v>11</v>
      </c>
    </row>
    <row r="193" spans="1:12" x14ac:dyDescent="0.3">
      <c r="A193" t="s">
        <v>792</v>
      </c>
      <c r="B193" t="s">
        <v>793</v>
      </c>
      <c r="C193" t="s">
        <v>794</v>
      </c>
      <c r="D193" t="s">
        <v>511</v>
      </c>
      <c r="E193">
        <v>2024</v>
      </c>
      <c r="F193" s="5">
        <v>67</v>
      </c>
      <c r="G193" s="5" t="s">
        <v>6</v>
      </c>
      <c r="H193" s="5">
        <v>1009</v>
      </c>
      <c r="I193" s="5">
        <v>1025</v>
      </c>
      <c r="J193" t="str">
        <f>HYPERLINK("http://dx.doi.org/10.1016/j.ijhydene.2024.01.129","http://dx.doi.org/10.1016/j.ijhydene.2024.01.129")</f>
        <v>http://dx.doi.org/10.1016/j.ijhydene.2024.01.129</v>
      </c>
      <c r="K193" t="s">
        <v>795</v>
      </c>
      <c r="L193" t="s">
        <v>36</v>
      </c>
    </row>
    <row r="194" spans="1:12" x14ac:dyDescent="0.3">
      <c r="A194" t="s">
        <v>796</v>
      </c>
      <c r="B194" t="s">
        <v>797</v>
      </c>
      <c r="C194" t="s">
        <v>323</v>
      </c>
      <c r="D194" t="s">
        <v>105</v>
      </c>
      <c r="E194">
        <v>2024</v>
      </c>
      <c r="F194" s="5">
        <v>77</v>
      </c>
      <c r="G194" s="5" t="s">
        <v>6</v>
      </c>
      <c r="H194" s="5" t="s">
        <v>6</v>
      </c>
      <c r="I194" s="5" t="s">
        <v>6</v>
      </c>
      <c r="J194" t="str">
        <f>HYPERLINK("http://dx.doi.org/10.1016/j.techsoc.2024.102521","http://dx.doi.org/10.1016/j.techsoc.2024.102521")</f>
        <v>http://dx.doi.org/10.1016/j.techsoc.2024.102521</v>
      </c>
      <c r="K194" t="s">
        <v>798</v>
      </c>
      <c r="L194" t="s">
        <v>11</v>
      </c>
    </row>
    <row r="195" spans="1:12" x14ac:dyDescent="0.3">
      <c r="A195" t="s">
        <v>799</v>
      </c>
      <c r="B195" t="s">
        <v>800</v>
      </c>
      <c r="C195" t="s">
        <v>443</v>
      </c>
      <c r="D195" t="s">
        <v>111</v>
      </c>
      <c r="E195">
        <v>2025</v>
      </c>
      <c r="F195" s="5">
        <v>41</v>
      </c>
      <c r="G195" s="5">
        <v>1</v>
      </c>
      <c r="H195" s="5">
        <v>353</v>
      </c>
      <c r="I195" s="5">
        <v>366</v>
      </c>
      <c r="J195" t="str">
        <f>HYPERLINK("http://dx.doi.org/10.1080/10447318.2023.2300016","http://dx.doi.org/10.1080/10447318.2023.2300016")</f>
        <v>http://dx.doi.org/10.1080/10447318.2023.2300016</v>
      </c>
      <c r="K195" t="s">
        <v>801</v>
      </c>
      <c r="L195" t="s">
        <v>106</v>
      </c>
    </row>
    <row r="196" spans="1:12" x14ac:dyDescent="0.3">
      <c r="A196" t="s">
        <v>802</v>
      </c>
      <c r="B196" t="s">
        <v>803</v>
      </c>
      <c r="C196" t="s">
        <v>58</v>
      </c>
      <c r="D196" t="s">
        <v>41</v>
      </c>
      <c r="E196">
        <v>2024</v>
      </c>
      <c r="F196" s="5">
        <v>21</v>
      </c>
      <c r="G196" s="5">
        <v>1</v>
      </c>
      <c r="H196" s="5" t="s">
        <v>6</v>
      </c>
      <c r="I196" s="5" t="s">
        <v>6</v>
      </c>
      <c r="J196" t="str">
        <f>HYPERLINK("http://dx.doi.org/10.1186/s41239-024-00444-7","http://dx.doi.org/10.1186/s41239-024-00444-7")</f>
        <v>http://dx.doi.org/10.1186/s41239-024-00444-7</v>
      </c>
      <c r="K196" t="s">
        <v>804</v>
      </c>
      <c r="L196" t="s">
        <v>11</v>
      </c>
    </row>
    <row r="197" spans="1:12" x14ac:dyDescent="0.3">
      <c r="A197" t="s">
        <v>805</v>
      </c>
      <c r="B197" t="s">
        <v>806</v>
      </c>
      <c r="C197" t="s">
        <v>807</v>
      </c>
      <c r="D197" t="s">
        <v>46</v>
      </c>
      <c r="E197">
        <v>2024</v>
      </c>
      <c r="F197" s="5">
        <v>119</v>
      </c>
      <c r="G197" s="5" t="s">
        <v>6</v>
      </c>
      <c r="H197" s="5" t="s">
        <v>6</v>
      </c>
      <c r="I197" s="5" t="s">
        <v>6</v>
      </c>
      <c r="J197" t="str">
        <f>HYPERLINK("http://dx.doi.org/10.1016/j.ijhm.2024.103693","http://dx.doi.org/10.1016/j.ijhm.2024.103693")</f>
        <v>http://dx.doi.org/10.1016/j.ijhm.2024.103693</v>
      </c>
      <c r="K197" t="s">
        <v>808</v>
      </c>
      <c r="L197" t="s">
        <v>11</v>
      </c>
    </row>
    <row r="198" spans="1:12" x14ac:dyDescent="0.3">
      <c r="A198" t="s">
        <v>809</v>
      </c>
      <c r="B198" t="s">
        <v>810</v>
      </c>
      <c r="C198" t="s">
        <v>206</v>
      </c>
      <c r="D198" t="s">
        <v>105</v>
      </c>
      <c r="E198">
        <v>2024</v>
      </c>
      <c r="F198" s="5">
        <v>122</v>
      </c>
      <c r="G198" s="5" t="s">
        <v>6</v>
      </c>
      <c r="H198" s="5" t="s">
        <v>6</v>
      </c>
      <c r="I198" s="5" t="s">
        <v>6</v>
      </c>
      <c r="J198" t="str">
        <f>HYPERLINK("http://dx.doi.org/10.1016/j.system.2024.103256","http://dx.doi.org/10.1016/j.system.2024.103256")</f>
        <v>http://dx.doi.org/10.1016/j.system.2024.103256</v>
      </c>
      <c r="K198" t="s">
        <v>811</v>
      </c>
      <c r="L198" t="s">
        <v>11</v>
      </c>
    </row>
    <row r="199" spans="1:12" x14ac:dyDescent="0.3">
      <c r="A199" t="s">
        <v>812</v>
      </c>
      <c r="B199" t="s">
        <v>813</v>
      </c>
      <c r="C199" t="s">
        <v>768</v>
      </c>
      <c r="D199" t="s">
        <v>590</v>
      </c>
      <c r="E199">
        <v>2024</v>
      </c>
      <c r="F199" s="5">
        <v>26</v>
      </c>
      <c r="G199" s="5">
        <v>1</v>
      </c>
      <c r="H199" s="5">
        <v>619</v>
      </c>
      <c r="I199" s="5">
        <v>669</v>
      </c>
      <c r="J199" t="str">
        <f>HYPERLINK("http://dx.doi.org/10.1109/COMST.2023.3338015","http://dx.doi.org/10.1109/COMST.2023.3338015")</f>
        <v>http://dx.doi.org/10.1109/COMST.2023.3338015</v>
      </c>
      <c r="K199" t="s">
        <v>814</v>
      </c>
      <c r="L199" t="s">
        <v>36</v>
      </c>
    </row>
    <row r="200" spans="1:12" x14ac:dyDescent="0.3">
      <c r="A200" t="s">
        <v>815</v>
      </c>
      <c r="B200" t="s">
        <v>816</v>
      </c>
      <c r="C200" t="s">
        <v>817</v>
      </c>
      <c r="D200" t="s">
        <v>19</v>
      </c>
      <c r="E200">
        <v>2024</v>
      </c>
      <c r="F200" s="5">
        <v>17</v>
      </c>
      <c r="G200" s="5">
        <v>3</v>
      </c>
      <c r="H200" s="5">
        <v>269</v>
      </c>
      <c r="I200" s="5">
        <v>280</v>
      </c>
      <c r="J200" t="str">
        <f>HYPERLINK("http://dx.doi.org/10.1016/j.jcmg.2023.05.020","http://dx.doi.org/10.1016/j.jcmg.2023.05.020")</f>
        <v>http://dx.doi.org/10.1016/j.jcmg.2023.05.020</v>
      </c>
      <c r="K200" t="s">
        <v>818</v>
      </c>
      <c r="L200" t="s">
        <v>36</v>
      </c>
    </row>
    <row r="201" spans="1:12" x14ac:dyDescent="0.3">
      <c r="A201" t="s">
        <v>819</v>
      </c>
      <c r="B201" t="s">
        <v>820</v>
      </c>
      <c r="C201" t="s">
        <v>821</v>
      </c>
      <c r="D201" t="s">
        <v>46</v>
      </c>
      <c r="E201">
        <v>2024</v>
      </c>
      <c r="F201" s="5">
        <v>50</v>
      </c>
      <c r="G201" s="5">
        <v>3</v>
      </c>
      <c r="H201" s="5">
        <v>534</v>
      </c>
      <c r="I201" s="5">
        <v>559</v>
      </c>
      <c r="J201" t="str">
        <f>HYPERLINK("http://dx.doi.org/10.1017/S0260210524000202","http://dx.doi.org/10.1017/S0260210524000202")</f>
        <v>http://dx.doi.org/10.1017/S0260210524000202</v>
      </c>
      <c r="K201" t="s">
        <v>822</v>
      </c>
      <c r="L201" t="s">
        <v>11</v>
      </c>
    </row>
    <row r="202" spans="1:12" x14ac:dyDescent="0.3">
      <c r="A202" t="s">
        <v>823</v>
      </c>
      <c r="B202" t="s">
        <v>824</v>
      </c>
      <c r="C202" t="s">
        <v>45</v>
      </c>
      <c r="D202" t="s">
        <v>77</v>
      </c>
      <c r="E202">
        <v>2024</v>
      </c>
      <c r="F202" s="5">
        <v>150</v>
      </c>
      <c r="G202" s="5" t="s">
        <v>6</v>
      </c>
      <c r="H202" s="5" t="s">
        <v>6</v>
      </c>
      <c r="I202" s="5" t="s">
        <v>6</v>
      </c>
      <c r="J202" t="str">
        <f>HYPERLINK("http://dx.doi.org/10.1016/j.artmed.2024.102830","http://dx.doi.org/10.1016/j.artmed.2024.102830")</f>
        <v>http://dx.doi.org/10.1016/j.artmed.2024.102830</v>
      </c>
      <c r="K202" t="s">
        <v>825</v>
      </c>
      <c r="L202" t="s">
        <v>36</v>
      </c>
    </row>
    <row r="203" spans="1:12" x14ac:dyDescent="0.3">
      <c r="A203" t="s">
        <v>826</v>
      </c>
      <c r="B203" t="s">
        <v>827</v>
      </c>
      <c r="C203" t="s">
        <v>828</v>
      </c>
      <c r="D203" t="s">
        <v>10</v>
      </c>
      <c r="E203">
        <v>2024</v>
      </c>
      <c r="F203" s="5">
        <v>22</v>
      </c>
      <c r="G203" s="5">
        <v>2</v>
      </c>
      <c r="H203" s="5" t="s">
        <v>6</v>
      </c>
      <c r="I203" s="5" t="s">
        <v>6</v>
      </c>
      <c r="J203" t="str">
        <f>HYPERLINK("http://dx.doi.org/10.1016/j.ijme.2024.100958","http://dx.doi.org/10.1016/j.ijme.2024.100958")</f>
        <v>http://dx.doi.org/10.1016/j.ijme.2024.100958</v>
      </c>
      <c r="K203" t="s">
        <v>829</v>
      </c>
      <c r="L203" t="s">
        <v>11</v>
      </c>
    </row>
    <row r="204" spans="1:12" x14ac:dyDescent="0.3">
      <c r="A204" t="s">
        <v>830</v>
      </c>
      <c r="B204" t="s">
        <v>831</v>
      </c>
      <c r="C204" t="s">
        <v>402</v>
      </c>
      <c r="D204" t="s">
        <v>832</v>
      </c>
      <c r="E204">
        <v>2024</v>
      </c>
      <c r="F204" s="5">
        <v>385</v>
      </c>
      <c r="G204" s="5" t="s">
        <v>6</v>
      </c>
      <c r="H204" s="5" t="s">
        <v>6</v>
      </c>
      <c r="I204" s="5" t="s">
        <v>6</v>
      </c>
      <c r="J204" t="str">
        <f>HYPERLINK("http://dx.doi.org/10.1136/bmj-2023-078378","http://dx.doi.org/10.1136/bmj-2023-078378")</f>
        <v>http://dx.doi.org/10.1136/bmj-2023-078378</v>
      </c>
      <c r="K204" t="s">
        <v>833</v>
      </c>
      <c r="L204" t="s">
        <v>36</v>
      </c>
    </row>
    <row r="205" spans="1:12" x14ac:dyDescent="0.3">
      <c r="A205" t="s">
        <v>834</v>
      </c>
      <c r="B205" t="s">
        <v>835</v>
      </c>
      <c r="C205" t="s">
        <v>543</v>
      </c>
      <c r="D205" t="s">
        <v>499</v>
      </c>
      <c r="E205">
        <v>2024</v>
      </c>
      <c r="F205" s="5">
        <v>50</v>
      </c>
      <c r="G205" s="5">
        <v>9</v>
      </c>
      <c r="H205" s="5">
        <v>592</v>
      </c>
      <c r="I205" s="5">
        <v>595</v>
      </c>
      <c r="J205" t="str">
        <f>HYPERLINK("http://dx.doi.org/10.1136/jme-2023-109711","http://dx.doi.org/10.1136/jme-2023-109711")</f>
        <v>http://dx.doi.org/10.1136/jme-2023-109711</v>
      </c>
      <c r="K205" t="s">
        <v>836</v>
      </c>
      <c r="L205" t="s">
        <v>106</v>
      </c>
    </row>
    <row r="206" spans="1:12" x14ac:dyDescent="0.3">
      <c r="A206" t="s">
        <v>837</v>
      </c>
      <c r="B206" t="s">
        <v>838</v>
      </c>
      <c r="C206" t="s">
        <v>190</v>
      </c>
      <c r="D206" t="s">
        <v>35</v>
      </c>
      <c r="E206">
        <v>2024</v>
      </c>
      <c r="F206" s="5">
        <v>130</v>
      </c>
      <c r="G206" s="5" t="s">
        <v>6</v>
      </c>
      <c r="H206" s="5" t="s">
        <v>6</v>
      </c>
      <c r="I206" s="5" t="s">
        <v>6</v>
      </c>
      <c r="J206" t="str">
        <f>HYPERLINK("http://dx.doi.org/10.1016/j.eneco.2023.107285","http://dx.doi.org/10.1016/j.eneco.2023.107285")</f>
        <v>http://dx.doi.org/10.1016/j.eneco.2023.107285</v>
      </c>
      <c r="K206" t="s">
        <v>839</v>
      </c>
      <c r="L206" t="s">
        <v>11</v>
      </c>
    </row>
    <row r="207" spans="1:12" x14ac:dyDescent="0.3">
      <c r="A207" t="s">
        <v>840</v>
      </c>
      <c r="B207" t="s">
        <v>841</v>
      </c>
      <c r="C207" t="s">
        <v>76</v>
      </c>
      <c r="D207" t="s">
        <v>46</v>
      </c>
      <c r="E207">
        <v>2024</v>
      </c>
      <c r="F207" s="5">
        <v>202</v>
      </c>
      <c r="G207" s="5" t="s">
        <v>6</v>
      </c>
      <c r="H207" s="5" t="s">
        <v>6</v>
      </c>
      <c r="I207" s="5" t="s">
        <v>6</v>
      </c>
      <c r="J207" t="str">
        <f>HYPERLINK("http://dx.doi.org/10.1016/j.techfore.2024.123301","http://dx.doi.org/10.1016/j.techfore.2024.123301")</f>
        <v>http://dx.doi.org/10.1016/j.techfore.2024.123301</v>
      </c>
      <c r="K207" t="s">
        <v>842</v>
      </c>
      <c r="L207" t="s">
        <v>11</v>
      </c>
    </row>
    <row r="208" spans="1:12" x14ac:dyDescent="0.3">
      <c r="A208" t="s">
        <v>843</v>
      </c>
      <c r="B208" t="s">
        <v>844</v>
      </c>
      <c r="C208" t="s">
        <v>845</v>
      </c>
      <c r="D208" t="s">
        <v>846</v>
      </c>
      <c r="E208">
        <v>2024</v>
      </c>
      <c r="F208" s="5" t="s">
        <v>6</v>
      </c>
      <c r="G208" s="5" t="s">
        <v>6</v>
      </c>
      <c r="H208" s="5" t="s">
        <v>6</v>
      </c>
      <c r="I208" s="5" t="s">
        <v>6</v>
      </c>
      <c r="J208" t="str">
        <f>HYPERLINK("http://dx.doi.org/10.1093/polsoc/puae012","http://dx.doi.org/10.1093/polsoc/puae012")</f>
        <v>http://dx.doi.org/10.1093/polsoc/puae012</v>
      </c>
      <c r="K208" t="s">
        <v>847</v>
      </c>
      <c r="L208" t="s">
        <v>11</v>
      </c>
    </row>
    <row r="209" spans="1:12" x14ac:dyDescent="0.3">
      <c r="A209" t="s">
        <v>848</v>
      </c>
      <c r="B209" t="s">
        <v>849</v>
      </c>
      <c r="C209" t="s">
        <v>331</v>
      </c>
      <c r="D209" t="s">
        <v>6</v>
      </c>
      <c r="E209">
        <v>2024</v>
      </c>
      <c r="F209" s="5">
        <v>11</v>
      </c>
      <c r="G209" s="5" t="s">
        <v>6</v>
      </c>
      <c r="H209" s="5" t="s">
        <v>6</v>
      </c>
      <c r="I209" s="5" t="s">
        <v>6</v>
      </c>
      <c r="J209" t="str">
        <f>HYPERLINK("http://dx.doi.org/10.2196/53043","http://dx.doi.org/10.2196/53043")</f>
        <v>http://dx.doi.org/10.2196/53043</v>
      </c>
      <c r="K209" t="s">
        <v>850</v>
      </c>
      <c r="L209" t="s">
        <v>36</v>
      </c>
    </row>
    <row r="210" spans="1:12" x14ac:dyDescent="0.3">
      <c r="A210" t="s">
        <v>851</v>
      </c>
      <c r="B210" t="s">
        <v>852</v>
      </c>
      <c r="C210" t="s">
        <v>58</v>
      </c>
      <c r="D210" t="s">
        <v>471</v>
      </c>
      <c r="E210">
        <v>2024</v>
      </c>
      <c r="F210" s="5">
        <v>21</v>
      </c>
      <c r="G210" s="5">
        <v>1</v>
      </c>
      <c r="H210" s="5" t="s">
        <v>6</v>
      </c>
      <c r="I210" s="5" t="s">
        <v>6</v>
      </c>
      <c r="J210" t="str">
        <f>HYPERLINK("http://dx.doi.org/10.1186/s41239-024-00453-6","http://dx.doi.org/10.1186/s41239-024-00453-6")</f>
        <v>http://dx.doi.org/10.1186/s41239-024-00453-6</v>
      </c>
      <c r="K210" t="s">
        <v>853</v>
      </c>
      <c r="L210" t="s">
        <v>11</v>
      </c>
    </row>
    <row r="211" spans="1:12" x14ac:dyDescent="0.3">
      <c r="A211" t="s">
        <v>854</v>
      </c>
      <c r="B211" t="s">
        <v>855</v>
      </c>
      <c r="C211" t="s">
        <v>456</v>
      </c>
      <c r="D211" t="s">
        <v>30</v>
      </c>
      <c r="E211">
        <v>2024</v>
      </c>
      <c r="F211" s="5">
        <v>29</v>
      </c>
      <c r="G211" s="5">
        <v>14</v>
      </c>
      <c r="H211" s="5">
        <v>18695</v>
      </c>
      <c r="I211" s="5">
        <v>18744</v>
      </c>
      <c r="J211" t="str">
        <f>HYPERLINK("http://dx.doi.org/10.1007/s10639-024-12599-x","http://dx.doi.org/10.1007/s10639-024-12599-x")</f>
        <v>http://dx.doi.org/10.1007/s10639-024-12599-x</v>
      </c>
      <c r="K211" t="s">
        <v>856</v>
      </c>
      <c r="L211" t="s">
        <v>11</v>
      </c>
    </row>
    <row r="212" spans="1:12" x14ac:dyDescent="0.3">
      <c r="A212" t="s">
        <v>857</v>
      </c>
      <c r="B212" t="s">
        <v>858</v>
      </c>
      <c r="C212" t="s">
        <v>859</v>
      </c>
      <c r="D212" t="s">
        <v>860</v>
      </c>
      <c r="E212">
        <v>2024</v>
      </c>
      <c r="F212" s="5" t="s">
        <v>6</v>
      </c>
      <c r="G212" s="5" t="s">
        <v>6</v>
      </c>
      <c r="H212" s="5" t="s">
        <v>6</v>
      </c>
      <c r="I212" s="5" t="s">
        <v>6</v>
      </c>
      <c r="J212" t="str">
        <f>HYPERLINK("http://dx.doi.org/10.1111/jan.16101","http://dx.doi.org/10.1111/jan.16101")</f>
        <v>http://dx.doi.org/10.1111/jan.16101</v>
      </c>
      <c r="K212" t="s">
        <v>861</v>
      </c>
      <c r="L212" t="s">
        <v>106</v>
      </c>
    </row>
    <row r="213" spans="1:12" x14ac:dyDescent="0.3">
      <c r="A213" t="s">
        <v>862</v>
      </c>
      <c r="B213" t="s">
        <v>863</v>
      </c>
      <c r="C213" t="s">
        <v>864</v>
      </c>
      <c r="D213" t="s">
        <v>35</v>
      </c>
      <c r="E213">
        <v>2024</v>
      </c>
      <c r="F213" s="5">
        <v>70</v>
      </c>
      <c r="G213" s="5">
        <v>1</v>
      </c>
      <c r="H213" s="5">
        <v>3573</v>
      </c>
      <c r="I213" s="5">
        <v>3581</v>
      </c>
      <c r="J213" t="str">
        <f>HYPERLINK("http://dx.doi.org/10.1109/TCE.2023.3276066","http://dx.doi.org/10.1109/TCE.2023.3276066")</f>
        <v>http://dx.doi.org/10.1109/TCE.2023.3276066</v>
      </c>
      <c r="K213" t="s">
        <v>865</v>
      </c>
      <c r="L213" t="s">
        <v>36</v>
      </c>
    </row>
    <row r="214" spans="1:12" x14ac:dyDescent="0.3">
      <c r="A214" t="s">
        <v>866</v>
      </c>
      <c r="B214" t="s">
        <v>867</v>
      </c>
      <c r="C214" t="s">
        <v>868</v>
      </c>
      <c r="D214" t="s">
        <v>6</v>
      </c>
      <c r="E214">
        <v>2024</v>
      </c>
      <c r="F214" s="5">
        <v>71</v>
      </c>
      <c r="G214" s="5" t="s">
        <v>6</v>
      </c>
      <c r="H214" s="5">
        <v>1714</v>
      </c>
      <c r="I214" s="5">
        <v>1725</v>
      </c>
      <c r="J214" t="str">
        <f>HYPERLINK("http://dx.doi.org/10.1109/TEM.2023.3339578","http://dx.doi.org/10.1109/TEM.2023.3339578")</f>
        <v>http://dx.doi.org/10.1109/TEM.2023.3339578</v>
      </c>
      <c r="K214" t="s">
        <v>869</v>
      </c>
      <c r="L214" t="s">
        <v>106</v>
      </c>
    </row>
    <row r="215" spans="1:12" x14ac:dyDescent="0.3">
      <c r="A215" t="s">
        <v>870</v>
      </c>
      <c r="B215" t="s">
        <v>871</v>
      </c>
      <c r="C215" t="s">
        <v>201</v>
      </c>
      <c r="D215" t="s">
        <v>495</v>
      </c>
      <c r="E215">
        <v>2024</v>
      </c>
      <c r="F215" s="5">
        <v>10</v>
      </c>
      <c r="G215" s="5">
        <v>8</v>
      </c>
      <c r="H215" s="5" t="s">
        <v>6</v>
      </c>
      <c r="I215" s="5" t="s">
        <v>6</v>
      </c>
      <c r="J215" t="str">
        <f>HYPERLINK("http://dx.doi.org/10.1016/j.heliyon.2024.e29317","http://dx.doi.org/10.1016/j.heliyon.2024.e29317")</f>
        <v>http://dx.doi.org/10.1016/j.heliyon.2024.e29317</v>
      </c>
      <c r="K215" t="s">
        <v>872</v>
      </c>
      <c r="L215" t="s">
        <v>36</v>
      </c>
    </row>
    <row r="216" spans="1:12" x14ac:dyDescent="0.3">
      <c r="A216" t="s">
        <v>873</v>
      </c>
      <c r="B216" t="s">
        <v>874</v>
      </c>
      <c r="C216" t="s">
        <v>875</v>
      </c>
      <c r="D216" t="s">
        <v>876</v>
      </c>
      <c r="E216">
        <v>2024</v>
      </c>
      <c r="F216" s="5">
        <v>15</v>
      </c>
      <c r="G216" s="5" t="s">
        <v>6</v>
      </c>
      <c r="H216" s="5" t="s">
        <v>6</v>
      </c>
      <c r="I216" s="5" t="s">
        <v>6</v>
      </c>
      <c r="J216" t="str">
        <f>HYPERLINK("http://dx.doi.org/10.3389/fpsyg.2024.1268549","http://dx.doi.org/10.3389/fpsyg.2024.1268549")</f>
        <v>http://dx.doi.org/10.3389/fpsyg.2024.1268549</v>
      </c>
      <c r="K216" t="s">
        <v>877</v>
      </c>
      <c r="L216" t="s">
        <v>11</v>
      </c>
    </row>
    <row r="217" spans="1:12" x14ac:dyDescent="0.3">
      <c r="A217" t="s">
        <v>878</v>
      </c>
      <c r="B217" t="s">
        <v>879</v>
      </c>
      <c r="C217" t="s">
        <v>880</v>
      </c>
      <c r="D217" t="s">
        <v>881</v>
      </c>
      <c r="E217">
        <v>2024</v>
      </c>
      <c r="F217" s="5">
        <v>15</v>
      </c>
      <c r="G217" s="5">
        <v>1</v>
      </c>
      <c r="H217" s="5" t="s">
        <v>6</v>
      </c>
      <c r="I217" s="5" t="s">
        <v>6</v>
      </c>
      <c r="J217" t="str">
        <f>HYPERLINK("http://dx.doi.org/10.1186/s13244-023-01541-3","http://dx.doi.org/10.1186/s13244-023-01541-3")</f>
        <v>http://dx.doi.org/10.1186/s13244-023-01541-3</v>
      </c>
      <c r="K217" t="s">
        <v>882</v>
      </c>
      <c r="L217" t="s">
        <v>36</v>
      </c>
    </row>
    <row r="218" spans="1:12" x14ac:dyDescent="0.3">
      <c r="A218" t="s">
        <v>883</v>
      </c>
      <c r="B218" t="s">
        <v>884</v>
      </c>
      <c r="C218" t="s">
        <v>456</v>
      </c>
      <c r="D218" t="s">
        <v>885</v>
      </c>
      <c r="E218">
        <v>2024</v>
      </c>
      <c r="F218" s="5" t="s">
        <v>6</v>
      </c>
      <c r="G218" s="5" t="s">
        <v>6</v>
      </c>
      <c r="H218" s="5" t="s">
        <v>6</v>
      </c>
      <c r="I218" s="5" t="s">
        <v>6</v>
      </c>
      <c r="J218" t="str">
        <f>HYPERLINK("http://dx.doi.org/10.1007/s10639-024-12949-9","http://dx.doi.org/10.1007/s10639-024-12949-9")</f>
        <v>http://dx.doi.org/10.1007/s10639-024-12949-9</v>
      </c>
      <c r="K218" t="s">
        <v>886</v>
      </c>
      <c r="L218" t="s">
        <v>11</v>
      </c>
    </row>
    <row r="219" spans="1:12" x14ac:dyDescent="0.3">
      <c r="A219" t="s">
        <v>887</v>
      </c>
      <c r="B219" t="s">
        <v>888</v>
      </c>
      <c r="C219" t="s">
        <v>889</v>
      </c>
      <c r="D219" t="s">
        <v>19</v>
      </c>
      <c r="E219">
        <v>2024</v>
      </c>
      <c r="F219" s="5">
        <v>47</v>
      </c>
      <c r="G219" s="5">
        <v>3</v>
      </c>
      <c r="H219" s="5">
        <v>805</v>
      </c>
      <c r="I219" s="5">
        <v>807</v>
      </c>
      <c r="J219" t="str">
        <f>HYPERLINK("http://dx.doi.org/10.1038/s41440-023-01559-6","http://dx.doi.org/10.1038/s41440-023-01559-6")</f>
        <v>http://dx.doi.org/10.1038/s41440-023-01559-6</v>
      </c>
      <c r="K219" t="s">
        <v>890</v>
      </c>
      <c r="L219" t="s">
        <v>36</v>
      </c>
    </row>
    <row r="220" spans="1:12" x14ac:dyDescent="0.3">
      <c r="A220" t="s">
        <v>891</v>
      </c>
      <c r="B220" t="s">
        <v>892</v>
      </c>
      <c r="C220" t="s">
        <v>443</v>
      </c>
      <c r="D220" t="s">
        <v>893</v>
      </c>
      <c r="E220">
        <v>2025</v>
      </c>
      <c r="F220" s="5">
        <v>41</v>
      </c>
      <c r="G220" s="5">
        <v>2</v>
      </c>
      <c r="H220" s="5">
        <v>1064</v>
      </c>
      <c r="I220" s="5">
        <v>1077</v>
      </c>
      <c r="J220" t="str">
        <f>HYPERLINK("http://dx.doi.org/10.1080/10447318.2024.2310354","http://dx.doi.org/10.1080/10447318.2024.2310354")</f>
        <v>http://dx.doi.org/10.1080/10447318.2024.2310354</v>
      </c>
      <c r="K220" t="s">
        <v>894</v>
      </c>
      <c r="L220" t="s">
        <v>106</v>
      </c>
    </row>
    <row r="221" spans="1:12" x14ac:dyDescent="0.3">
      <c r="A221" t="s">
        <v>895</v>
      </c>
      <c r="B221" t="s">
        <v>896</v>
      </c>
      <c r="C221" t="s">
        <v>385</v>
      </c>
      <c r="D221" t="s">
        <v>10</v>
      </c>
      <c r="E221">
        <v>2024</v>
      </c>
      <c r="F221" s="5">
        <v>79</v>
      </c>
      <c r="G221" s="5" t="s">
        <v>6</v>
      </c>
      <c r="H221" s="5" t="s">
        <v>6</v>
      </c>
      <c r="I221" s="5" t="s">
        <v>6</v>
      </c>
      <c r="J221" t="str">
        <f>HYPERLINK("http://dx.doi.org/10.1016/j.jretconser.2024.103867","http://dx.doi.org/10.1016/j.jretconser.2024.103867")</f>
        <v>http://dx.doi.org/10.1016/j.jretconser.2024.103867</v>
      </c>
      <c r="K221" t="s">
        <v>897</v>
      </c>
      <c r="L221" t="s">
        <v>11</v>
      </c>
    </row>
    <row r="222" spans="1:12" x14ac:dyDescent="0.3">
      <c r="A222" t="s">
        <v>898</v>
      </c>
      <c r="B222" t="s">
        <v>899</v>
      </c>
      <c r="C222" t="s">
        <v>900</v>
      </c>
      <c r="D222" t="s">
        <v>544</v>
      </c>
      <c r="E222">
        <v>2024</v>
      </c>
      <c r="F222" s="5">
        <v>59</v>
      </c>
      <c r="G222" s="5">
        <v>4</v>
      </c>
      <c r="H222" s="5" t="s">
        <v>6</v>
      </c>
      <c r="I222" s="5" t="s">
        <v>6</v>
      </c>
      <c r="J222" t="str">
        <f>HYPERLINK("http://dx.doi.org/10.1111/ejed.12770","http://dx.doi.org/10.1111/ejed.12770")</f>
        <v>http://dx.doi.org/10.1111/ejed.12770</v>
      </c>
      <c r="K222" t="s">
        <v>901</v>
      </c>
      <c r="L222" t="s">
        <v>11</v>
      </c>
    </row>
    <row r="223" spans="1:12" x14ac:dyDescent="0.3">
      <c r="A223" t="s">
        <v>902</v>
      </c>
      <c r="B223" t="s">
        <v>903</v>
      </c>
      <c r="C223" t="s">
        <v>385</v>
      </c>
      <c r="D223" t="s">
        <v>46</v>
      </c>
      <c r="E223">
        <v>2024</v>
      </c>
      <c r="F223" s="5">
        <v>78</v>
      </c>
      <c r="G223" s="5" t="s">
        <v>6</v>
      </c>
      <c r="H223" s="5" t="s">
        <v>6</v>
      </c>
      <c r="I223" s="5" t="s">
        <v>6</v>
      </c>
      <c r="J223" t="str">
        <f>HYPERLINK("http://dx.doi.org/10.1016/j.jretconser.2024.103795","http://dx.doi.org/10.1016/j.jretconser.2024.103795")</f>
        <v>http://dx.doi.org/10.1016/j.jretconser.2024.103795</v>
      </c>
      <c r="K223" t="s">
        <v>904</v>
      </c>
      <c r="L223" t="s">
        <v>11</v>
      </c>
    </row>
    <row r="224" spans="1:12" x14ac:dyDescent="0.3">
      <c r="A224" t="s">
        <v>905</v>
      </c>
      <c r="B224" t="s">
        <v>906</v>
      </c>
      <c r="C224" t="s">
        <v>323</v>
      </c>
      <c r="D224" t="s">
        <v>105</v>
      </c>
      <c r="E224">
        <v>2024</v>
      </c>
      <c r="F224" s="5">
        <v>77</v>
      </c>
      <c r="G224" s="5" t="s">
        <v>6</v>
      </c>
      <c r="H224" s="5" t="s">
        <v>6</v>
      </c>
      <c r="I224" s="5" t="s">
        <v>6</v>
      </c>
      <c r="J224" t="str">
        <f>HYPERLINK("http://dx.doi.org/10.1016/j.techsoc.2024.102543","http://dx.doi.org/10.1016/j.techsoc.2024.102543")</f>
        <v>http://dx.doi.org/10.1016/j.techsoc.2024.102543</v>
      </c>
      <c r="K224" t="s">
        <v>907</v>
      </c>
      <c r="L224" t="s">
        <v>11</v>
      </c>
    </row>
    <row r="225" spans="1:12" x14ac:dyDescent="0.3">
      <c r="A225" t="s">
        <v>908</v>
      </c>
      <c r="B225" t="s">
        <v>909</v>
      </c>
      <c r="C225" t="s">
        <v>910</v>
      </c>
      <c r="D225" t="s">
        <v>96</v>
      </c>
      <c r="E225">
        <v>2024</v>
      </c>
      <c r="F225" s="5">
        <v>25</v>
      </c>
      <c r="G225" s="5">
        <v>3</v>
      </c>
      <c r="H225" s="5">
        <v>158</v>
      </c>
      <c r="I225" s="5">
        <v>178</v>
      </c>
      <c r="J225" s="2" t="s">
        <v>929</v>
      </c>
      <c r="K225" t="s">
        <v>911</v>
      </c>
      <c r="L225" t="s">
        <v>11</v>
      </c>
    </row>
    <row r="226" spans="1:12" x14ac:dyDescent="0.3">
      <c r="A226" t="s">
        <v>912</v>
      </c>
      <c r="B226" t="s">
        <v>913</v>
      </c>
      <c r="C226" t="s">
        <v>914</v>
      </c>
      <c r="D226" t="s">
        <v>46</v>
      </c>
      <c r="E226">
        <v>2024</v>
      </c>
      <c r="F226" s="5">
        <v>55</v>
      </c>
      <c r="G226" s="5">
        <v>3</v>
      </c>
      <c r="H226" s="5" t="s">
        <v>6</v>
      </c>
      <c r="I226" s="5" t="s">
        <v>6</v>
      </c>
      <c r="J226" t="str">
        <f>HYPERLINK("http://dx.doi.org/10.1111/bjet.13425","http://dx.doi.org/10.1111/bjet.13425")</f>
        <v>http://dx.doi.org/10.1111/bjet.13425</v>
      </c>
      <c r="K226" t="s">
        <v>915</v>
      </c>
      <c r="L226" t="s">
        <v>11</v>
      </c>
    </row>
    <row r="227" spans="1:12" x14ac:dyDescent="0.3">
      <c r="A227" t="s">
        <v>916</v>
      </c>
      <c r="B227" t="s">
        <v>917</v>
      </c>
      <c r="C227" t="s">
        <v>918</v>
      </c>
      <c r="D227" t="s">
        <v>267</v>
      </c>
      <c r="E227">
        <v>2024</v>
      </c>
      <c r="F227" s="5">
        <v>40</v>
      </c>
      <c r="G227" s="5">
        <v>2</v>
      </c>
      <c r="H227" s="5">
        <v>212</v>
      </c>
      <c r="I227" s="5">
        <v>216</v>
      </c>
      <c r="J227" t="str">
        <f>HYPERLINK("http://dx.doi.org/10.1097/IOP.0000000000002549","http://dx.doi.org/10.1097/IOP.0000000000002549")</f>
        <v>http://dx.doi.org/10.1097/IOP.0000000000002549</v>
      </c>
      <c r="K227" t="s">
        <v>919</v>
      </c>
      <c r="L227" t="s">
        <v>36</v>
      </c>
    </row>
    <row r="228" spans="1:12" x14ac:dyDescent="0.3">
      <c r="A228" t="s">
        <v>920</v>
      </c>
      <c r="B228" t="s">
        <v>921</v>
      </c>
      <c r="C228" t="s">
        <v>922</v>
      </c>
      <c r="D228" t="s">
        <v>923</v>
      </c>
      <c r="E228">
        <v>2024</v>
      </c>
      <c r="F228" s="5" t="s">
        <v>6</v>
      </c>
      <c r="G228" s="5" t="s">
        <v>6</v>
      </c>
      <c r="H228" s="5" t="s">
        <v>6</v>
      </c>
      <c r="I228" s="5" t="s">
        <v>6</v>
      </c>
      <c r="J228" t="str">
        <f>HYPERLINK("http://dx.doi.org/10.1007/s13167-024-00356-6","http://dx.doi.org/10.1007/s13167-024-00356-6")</f>
        <v>http://dx.doi.org/10.1007/s13167-024-00356-6</v>
      </c>
      <c r="K228" t="s">
        <v>924</v>
      </c>
      <c r="L228" t="s">
        <v>36</v>
      </c>
    </row>
  </sheetData>
  <hyperlinks>
    <hyperlink ref="J168" r:id="rId1" xr:uid="{A01F5967-DBCD-45D1-8545-DEABA1D36ABA}"/>
    <hyperlink ref="J225" r:id="rId2" xr:uid="{979A5A38-B602-45C2-8B5E-BF904B0338E9}"/>
  </hyperlink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WoS Core articles on AI (2024)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Kleinman</dc:creator>
  <cp:lastModifiedBy>Kleinman, Scott</cp:lastModifiedBy>
  <dcterms:created xsi:type="dcterms:W3CDTF">2025-10-14T23:31:49Z</dcterms:created>
  <dcterms:modified xsi:type="dcterms:W3CDTF">2025-10-14T23:31:49Z</dcterms:modified>
</cp:coreProperties>
</file>